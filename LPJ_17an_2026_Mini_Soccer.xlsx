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BCI2/BCI2_17an_2026/"/>
    </mc:Choice>
  </mc:AlternateContent>
  <xr:revisionPtr revIDLastSave="170" documentId="13_ncr:1_{818C6921-3590-4B95-BACE-3328E2241D8F}" xr6:coauthVersionLast="47" xr6:coauthVersionMax="47" xr10:uidLastSave="{4CE307CE-48D8-49E4-8E3C-D73BFDC8EE0A}"/>
  <bookViews>
    <workbookView xWindow="-110" yWindow="-110" windowWidth="19420" windowHeight="10300" activeTab="1" xr2:uid="{5FEAF387-63CA-44A5-B25A-C5E09B113C11}"/>
  </bookViews>
  <sheets>
    <sheet name="Laporan" sheetId="5" r:id="rId1"/>
    <sheet name="Detail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4" l="1"/>
  <c r="D8" i="14" s="1"/>
  <c r="D5" i="5" s="1"/>
  <c r="F3" i="14"/>
  <c r="E8" i="14"/>
  <c r="D6" i="5" s="1"/>
  <c r="D7" i="5" l="1"/>
  <c r="F2" i="14"/>
  <c r="F4" i="14" s="1"/>
  <c r="F7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Sony.Harianto</author>
  </authors>
  <commentList>
    <comment ref="E3" authorId="0" shapeId="0" xr:uid="{34EC8E40-7B25-4CB1-AEE4-E9AABF8D9FA3}">
      <text>
        <r>
          <rPr>
            <b/>
            <sz val="9"/>
            <color indexed="81"/>
            <rFont val="Tahoma"/>
            <charset val="1"/>
          </rPr>
          <t>Sony.Harianto:</t>
        </r>
        <r>
          <rPr>
            <sz val="9"/>
            <color indexed="81"/>
            <rFont val="Tahoma"/>
            <charset val="1"/>
          </rPr>
          <t xml:space="preserve">
Dari Kas Mini Soccer</t>
        </r>
      </text>
    </comment>
  </commentList>
</comments>
</file>

<file path=xl/sharedStrings.xml><?xml version="1.0" encoding="utf-8"?>
<sst xmlns="http://schemas.openxmlformats.org/spreadsheetml/2006/main" count="21" uniqueCount="21">
  <si>
    <t>No.</t>
  </si>
  <si>
    <t>Keterangan</t>
  </si>
  <si>
    <t>Noted</t>
  </si>
  <si>
    <t>Informasi dana</t>
  </si>
  <si>
    <t>Kas Masuk</t>
  </si>
  <si>
    <t>Kas Keluar</t>
  </si>
  <si>
    <t>Posisi Kas</t>
  </si>
  <si>
    <t>No</t>
  </si>
  <si>
    <t>Balance</t>
  </si>
  <si>
    <t>Dana Masuk</t>
  </si>
  <si>
    <t>Dana Keluar</t>
  </si>
  <si>
    <t>Aktifitas</t>
  </si>
  <si>
    <t>Tanggal</t>
  </si>
  <si>
    <t>Dana Operasional dari Paguyuban</t>
  </si>
  <si>
    <t>Biaya Lapangan</t>
  </si>
  <si>
    <t>Biaya Pembelian Air (5 Dus)</t>
  </si>
  <si>
    <t>Dana Hadiah Turnamen</t>
  </si>
  <si>
    <t>Sisa Dana</t>
  </si>
  <si>
    <t>Hadiah Juara 1</t>
  </si>
  <si>
    <t>LAPORAN KEGIATAN
Turnamen Fun Mini Soccer 17an 2026</t>
  </si>
  <si>
    <t xml:space="preserve">Hadiah Juara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</si>
</sst>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Rp-3809]* #,##0.00_-;\-[$Rp-3809]* #,##0.00_-;_-[$Rp-3809]* &quot;-&quot;??_-;_-@_-"/>
    <numFmt numFmtId="165" formatCode="[$IDR]\ #,##0;\-[$IDR]\ #,##0"/>
  </numFmts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1"/>
      </left>
      <right style="hair">
        <color rgb="FF000001"/>
      </right>
      <top style="hair">
        <color rgb="FF000001"/>
      </top>
      <bottom style="hair">
        <color rgb="FF000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quotePrefix="1" applyBorder="1"/>
    <xf numFmtId="41" fontId="0" fillId="0" borderId="0" xfId="1" applyFont="1"/>
    <xf numFmtId="41" fontId="0" fillId="0" borderId="1" xfId="1" applyFont="1" applyBorder="1"/>
    <xf numFmtId="14" fontId="0" fillId="0" borderId="1" xfId="0" applyNumberFormat="1" applyBorder="1"/>
    <xf numFmtId="165" fontId="0" fillId="0" borderId="1" xfId="1" applyNumberFormat="1" applyFont="1" applyBorder="1"/>
    <xf numFmtId="165" fontId="0" fillId="0" borderId="1" xfId="0" applyNumberFormat="1" applyBorder="1"/>
    <xf numFmtId="0" fontId="0" fillId="3" borderId="1" xfId="0" applyFill="1" applyBorder="1"/>
    <xf numFmtId="41" fontId="0" fillId="3" borderId="1" xfId="1" applyFont="1" applyFill="1" applyBorder="1"/>
    <xf numFmtId="165" fontId="0" fillId="0" borderId="0" xfId="0" applyNumberFormat="1"/>
    <xf numFmtId="165" fontId="0" fillId="0" borderId="0" xfId="1" applyNumberFormat="1" applyFont="1"/>
    <xf numFmtId="165" fontId="0" fillId="4" borderId="1" xfId="0" applyNumberForma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16565</xdr:colOff>
      <xdr:row>6</xdr:row>
      <xdr:rowOff>99392</xdr:rowOff>
    </xdr:from>
    <xdr:to>
      <xdr:col>8</xdr:col>
      <xdr:colOff>242957</xdr:colOff>
      <xdr:row>6</xdr:row>
      <xdr:rowOff>99392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2373FDB-A52D-713D-BD23-E2F3BFF8A954}"/>
            </a:ext>
          </a:extLst>
        </xdr:cNvPr>
        <xdr:cNvCxnSpPr/>
      </xdr:nvCxnSpPr>
      <xdr:spPr>
        <a:xfrm flipH="1">
          <a:off x="6460435" y="1192696"/>
          <a:ext cx="745435" cy="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7B41-051E-4552-8BF3-0BC9D3E2A8FC}">
  <sheetPr>
    <pageSetUpPr fitToPage="1"/>
  </sheetPr>
  <dimension ref="A1:E9"/>
  <sheetViews>
    <sheetView workbookViewId="0">
      <selection activeCell="D7" sqref="D7"/>
    </sheetView>
  </sheetViews>
  <sheetFormatPr defaultRowHeight="14.5" x14ac:dyDescent="0.35"/>
  <cols>
    <col min="2" max="2" width="4.1796875" bestFit="1" customWidth="1"/>
    <col min="3" max="3" width="49.54296875" bestFit="1" customWidth="1"/>
    <col min="4" max="4" width="36" customWidth="1"/>
    <col min="5" max="5" width="55" customWidth="1"/>
  </cols>
  <sheetData>
    <row r="1" spans="1:5" ht="57.75" customHeight="1" x14ac:dyDescent="0.35">
      <c r="A1" s="17" t="s">
        <v>19</v>
      </c>
      <c r="B1" s="18"/>
      <c r="C1" s="18"/>
      <c r="D1" s="18"/>
      <c r="E1" s="18"/>
    </row>
    <row r="4" spans="1:5" x14ac:dyDescent="0.35">
      <c r="B4" s="1" t="s">
        <v>0</v>
      </c>
      <c r="C4" s="1" t="s">
        <v>1</v>
      </c>
      <c r="D4" s="1" t="s">
        <v>3</v>
      </c>
      <c r="E4" s="1" t="s">
        <v>2</v>
      </c>
    </row>
    <row r="5" spans="1:5" x14ac:dyDescent="0.35">
      <c r="B5" s="2">
        <v>1</v>
      </c>
      <c r="C5" s="4" t="s">
        <v>4</v>
      </c>
      <c r="D5" s="3">
        <f>Detail!D8</f>
        <v>700000</v>
      </c>
      <c r="E5" s="6"/>
    </row>
    <row r="6" spans="1:5" x14ac:dyDescent="0.35">
      <c r="B6" s="2">
        <v>2</v>
      </c>
      <c r="C6" s="2" t="s">
        <v>5</v>
      </c>
      <c r="D6" s="3">
        <f>Detail!E8</f>
        <v>700000</v>
      </c>
      <c r="E6" s="2"/>
    </row>
    <row r="7" spans="1:5" x14ac:dyDescent="0.35">
      <c r="B7" s="2">
        <v>3</v>
      </c>
      <c r="C7" s="2" t="s">
        <v>6</v>
      </c>
      <c r="D7" s="3">
        <f>D5-D6</f>
        <v>0</v>
      </c>
      <c r="E7" s="6"/>
    </row>
    <row r="9" spans="1:5" x14ac:dyDescent="0.35">
      <c r="C9" s="5"/>
    </row>
  </sheetData>
  <mergeCells count="1">
    <mergeCell ref="A1:E1"/>
  </mergeCells>
  <pageMargins left="0.25" right="0.25" top="0.75" bottom="0.75" header="0.3" footer="0.3"/>
  <pageSetup paperSize="9" scale="92" fitToHeight="0" orientation="landscape" r:id="rId1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9781-1E81-4B88-8DF5-B1583BD63902}">
  <dimension ref="A1:O10"/>
  <sheetViews>
    <sheetView tabSelected="1" zoomScale="115" zoomScaleNormal="115" workbookViewId="0">
      <selection activeCell="D14" sqref="D14"/>
    </sheetView>
  </sheetViews>
  <sheetFormatPr defaultColWidth="3.7265625" defaultRowHeight="14.5" x14ac:dyDescent="0.35"/>
  <cols>
    <col min="1" max="1" width="3.54296875" bestFit="1" customWidth="1"/>
    <col min="2" max="2" width="11.81640625" bestFit="1" customWidth="1"/>
    <col min="3" max="3" width="33.453125" bestFit="1" customWidth="1"/>
    <col min="4" max="5" width="14.453125" style="7" bestFit="1" customWidth="1"/>
    <col min="6" max="6" width="14.453125" bestFit="1" customWidth="1"/>
    <col min="13" max="13" width="7" customWidth="1"/>
  </cols>
  <sheetData>
    <row r="1" spans="1:15" x14ac:dyDescent="0.35">
      <c r="A1" s="12" t="s">
        <v>7</v>
      </c>
      <c r="B1" s="12" t="s">
        <v>12</v>
      </c>
      <c r="C1" s="12" t="s">
        <v>11</v>
      </c>
      <c r="D1" s="13" t="s">
        <v>9</v>
      </c>
      <c r="E1" s="13" t="s">
        <v>10</v>
      </c>
      <c r="F1" s="12" t="s">
        <v>8</v>
      </c>
    </row>
    <row r="2" spans="1:15" x14ac:dyDescent="0.35">
      <c r="A2" s="2">
        <v>1</v>
      </c>
      <c r="B2" s="9">
        <v>46250</v>
      </c>
      <c r="C2" s="2" t="s">
        <v>13</v>
      </c>
      <c r="D2" s="10">
        <v>700000</v>
      </c>
      <c r="E2" s="8"/>
      <c r="F2" s="11">
        <f>D2-E2</f>
        <v>700000</v>
      </c>
    </row>
    <row r="3" spans="1:15" x14ac:dyDescent="0.35">
      <c r="A3" s="2">
        <v>2</v>
      </c>
      <c r="B3" s="9">
        <v>46250</v>
      </c>
      <c r="C3" s="2" t="s">
        <v>14</v>
      </c>
      <c r="D3" s="10"/>
      <c r="E3" s="10">
        <v>0</v>
      </c>
      <c r="F3" s="11">
        <f>F2-E3</f>
        <v>700000</v>
      </c>
    </row>
    <row r="4" spans="1:15" x14ac:dyDescent="0.35">
      <c r="A4" s="2">
        <v>3</v>
      </c>
      <c r="B4" s="9">
        <v>46250</v>
      </c>
      <c r="C4" s="2" t="s">
        <v>15</v>
      </c>
      <c r="D4" s="10"/>
      <c r="E4" s="10">
        <v>100000</v>
      </c>
      <c r="F4" s="11">
        <f t="shared" ref="F4:F6" si="0">F3-E4</f>
        <v>600000</v>
      </c>
    </row>
    <row r="5" spans="1:15" x14ac:dyDescent="0.35">
      <c r="A5" s="2">
        <v>4</v>
      </c>
      <c r="B5" s="9">
        <v>46250</v>
      </c>
      <c r="C5" s="2" t="s">
        <v>16</v>
      </c>
      <c r="F5" s="10">
        <f>E6+E7</f>
        <v>600000</v>
      </c>
    </row>
    <row r="6" spans="1:15" x14ac:dyDescent="0.35">
      <c r="A6" s="2">
        <v>5</v>
      </c>
      <c r="B6" s="9">
        <v>46250</v>
      </c>
      <c r="C6" s="2" t="s">
        <v>18</v>
      </c>
      <c r="D6" s="8"/>
      <c r="E6" s="10">
        <v>400000</v>
      </c>
      <c r="F6" s="11"/>
    </row>
    <row r="7" spans="1:15" x14ac:dyDescent="0.35">
      <c r="A7" s="2">
        <v>6</v>
      </c>
      <c r="B7" s="9">
        <v>46250</v>
      </c>
      <c r="C7" s="2" t="s">
        <v>20</v>
      </c>
      <c r="D7" s="8"/>
      <c r="E7" s="10">
        <v>200000</v>
      </c>
      <c r="F7" s="16">
        <f>F4-F5</f>
        <v>0</v>
      </c>
      <c r="J7" s="19" t="s">
        <v>17</v>
      </c>
      <c r="K7" s="20"/>
      <c r="L7" s="20"/>
      <c r="M7" s="20"/>
      <c r="N7" s="20"/>
      <c r="O7" s="21"/>
    </row>
    <row r="8" spans="1:15" x14ac:dyDescent="0.35">
      <c r="D8" s="15">
        <f>SUM(D2:D7)</f>
        <v>700000</v>
      </c>
      <c r="E8" s="15">
        <f>SUM(E3:E7)</f>
        <v>700000</v>
      </c>
    </row>
    <row r="9" spans="1:15" x14ac:dyDescent="0.35">
      <c r="F9" s="14"/>
    </row>
    <row r="10" spans="1:15" x14ac:dyDescent="0.35">
      <c r="E10" s="15"/>
      <c r="F10" s="14"/>
    </row>
  </sheetData>
  <mergeCells count="1">
    <mergeCell ref="J7:O7"/>
  </mergeCells>
  <pageMargins left="0.7" right="0.7" top="0.75" bottom="0.75" header="0.3" footer="0.3"/>
  <pageSetup paperSize="9" orientation="landscape" r:id="rId1"/>
  <headerFooter>
    <oddFooter>&amp;C_x000D_&amp;1#&amp;"Arial"&amp;8&amp;K2E404D Sensitivity Label: General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cp:lastPrinted>2024-08-22T11:57:45Z</cp:lastPrinted>
  <dcterms:created xsi:type="dcterms:W3CDTF">2019-12-23T08:36:28Z</dcterms:created>
  <dcterms:modified xsi:type="dcterms:W3CDTF">2026-08-19T03:11:38Z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2026-08-19T02:46:03Z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f03ae7be-e7e2-4a9d-9bdb-3d97e3b6d31a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