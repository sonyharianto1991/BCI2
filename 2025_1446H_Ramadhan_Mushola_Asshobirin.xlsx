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ttlimited-my.sharepoint.com/personal/sony_harianto_global_ntt/Documents/PRIVATE/BCI2/Mushola_Asshobirin/Ramadhan_1446H/"/>
    </mc:Choice>
  </mc:AlternateContent>
  <xr:revisionPtr revIDLastSave="38" documentId="13_ncr:1_{BE469AB0-BD1B-4F5C-A55C-4B2DADC32FE2}" xr6:coauthVersionLast="47" xr6:coauthVersionMax="47" xr10:uidLastSave="{EEC6A5D2-89A6-4A26-A206-B6393DF5E21D}"/>
  <bookViews>
    <workbookView xWindow="-110" yWindow="-110" windowWidth="19420" windowHeight="10300" tabRatio="860" xr2:uid="{5FEAF387-63CA-44A5-B25A-C5E09B113C11}"/>
  </bookViews>
  <sheets>
    <sheet name="Cover" sheetId="3" r:id="rId1"/>
    <sheet name="Cash-In" sheetId="2" r:id="rId2"/>
    <sheet name="Cash-Out" sheetId="6" r:id="rId3"/>
    <sheet name="InfaqTromol 1446H" sheetId="19" r:id="rId4"/>
    <sheet name="AmplopImam 1446H" sheetId="20" r:id="rId5"/>
    <sheet name="Bingkisan 1446H" sheetId="21" r:id="rId6"/>
    <sheet name="ZFitrah, Sadaqoh, Ied 1446H" sheetId="22" r:id="rId7"/>
    <sheet name="Laporan" sheetId="8" state="hidden" r:id="rId8"/>
    <sheet name="In" sheetId="7" state="hidden" r:id="rId9"/>
    <sheet name="Out" sheetId="9" state="hidden" r:id="rId10"/>
    <sheet name="Ramadhan" sheetId="4" state="hidden" r:id="rId11"/>
  </sheets>
  <definedNames>
    <definedName name="_xlnm._FilterDatabase" localSheetId="1" hidden="1">'Cash-In'!$A$5:$I$16</definedName>
    <definedName name="_xlnm._FilterDatabase" localSheetId="2" hidden="1">'Cash-Out'!$A$3:$F$8</definedName>
    <definedName name="_xlnm._FilterDatabase" localSheetId="10" hidden="1">Ramadhan!$A$3:$C$19</definedName>
    <definedName name="_xlnm.Print_Area" localSheetId="7">Laporan!$A$1:$H$25</definedName>
    <definedName name="_xlnm.Print_Area" localSheetId="6">'ZFitrah, Sadaqoh, Ied 1446H'!$A$1:$H$84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7" i="6" l="1"/>
  <c r="F15" i="21"/>
  <c r="F13" i="21"/>
  <c r="D71" i="22" l="1"/>
  <c r="C63" i="22"/>
  <c r="E47" i="22"/>
  <c r="H47" i="22" s="1"/>
  <c r="E46" i="22"/>
  <c r="H46" i="22" s="1"/>
  <c r="E45" i="22"/>
  <c r="H45" i="22" s="1"/>
  <c r="C48" i="22"/>
  <c r="E44" i="22"/>
  <c r="H44" i="22" s="1"/>
  <c r="E43" i="22"/>
  <c r="H43" i="22" s="1"/>
  <c r="D81" i="22"/>
  <c r="F48" i="22"/>
  <c r="E42" i="22"/>
  <c r="H42" i="22" s="1"/>
  <c r="E41" i="22"/>
  <c r="H41" i="22" s="1"/>
  <c r="E40" i="22"/>
  <c r="H40" i="22" s="1"/>
  <c r="E39" i="22"/>
  <c r="H39" i="22" s="1"/>
  <c r="E38" i="22"/>
  <c r="H38" i="22" s="1"/>
  <c r="E37" i="22"/>
  <c r="H37" i="22" s="1"/>
  <c r="E36" i="22"/>
  <c r="H36" i="22" s="1"/>
  <c r="E26" i="22"/>
  <c r="H26" i="22" s="1"/>
  <c r="E27" i="22"/>
  <c r="H27" i="22" s="1"/>
  <c r="E28" i="22"/>
  <c r="H28" i="22" s="1"/>
  <c r="E29" i="22"/>
  <c r="H29" i="22" s="1"/>
  <c r="E30" i="22"/>
  <c r="H30" i="22" s="1"/>
  <c r="E31" i="22"/>
  <c r="H31" i="22" s="1"/>
  <c r="E32" i="22"/>
  <c r="H32" i="22" s="1"/>
  <c r="E33" i="22"/>
  <c r="H33" i="22" s="1"/>
  <c r="E34" i="22"/>
  <c r="H34" i="22" s="1"/>
  <c r="E35" i="22"/>
  <c r="H35" i="22" s="1"/>
  <c r="E25" i="22"/>
  <c r="H25" i="22" s="1"/>
  <c r="E24" i="22"/>
  <c r="H24" i="22" s="1"/>
  <c r="E23" i="22"/>
  <c r="H23" i="22" s="1"/>
  <c r="E22" i="22"/>
  <c r="H22" i="22" s="1"/>
  <c r="E21" i="22"/>
  <c r="H21" i="22" s="1"/>
  <c r="E20" i="22"/>
  <c r="H20" i="22" s="1"/>
  <c r="E19" i="22"/>
  <c r="H19" i="22" s="1"/>
  <c r="E18" i="22"/>
  <c r="H18" i="22" s="1"/>
  <c r="E17" i="22"/>
  <c r="H17" i="22" s="1"/>
  <c r="E16" i="22"/>
  <c r="H16" i="22" s="1"/>
  <c r="E15" i="22"/>
  <c r="H15" i="22" s="1"/>
  <c r="E14" i="22"/>
  <c r="H14" i="22" s="1"/>
  <c r="E13" i="22"/>
  <c r="H13" i="22" s="1"/>
  <c r="E12" i="22"/>
  <c r="H12" i="22" s="1"/>
  <c r="E11" i="22"/>
  <c r="H11" i="22" s="1"/>
  <c r="E10" i="22"/>
  <c r="H10" i="22" s="1"/>
  <c r="E9" i="22"/>
  <c r="H9" i="22" s="1"/>
  <c r="E8" i="22"/>
  <c r="H8" i="22" s="1"/>
  <c r="E7" i="22"/>
  <c r="H7" i="22" s="1"/>
  <c r="E6" i="22"/>
  <c r="H6" i="22" s="1"/>
  <c r="E5" i="22"/>
  <c r="H5" i="22" s="1"/>
  <c r="E4" i="22"/>
  <c r="H4" i="22" s="1"/>
  <c r="D12" i="21"/>
  <c r="D11" i="21"/>
  <c r="D10" i="21"/>
  <c r="D9" i="21"/>
  <c r="D8" i="21"/>
  <c r="D7" i="21"/>
  <c r="D6" i="21"/>
  <c r="D5" i="21"/>
  <c r="D4" i="21"/>
  <c r="D3" i="21"/>
  <c r="D2" i="21"/>
  <c r="D1" i="21"/>
  <c r="B32" i="20"/>
  <c r="E4" i="6" s="1"/>
  <c r="B32" i="19"/>
  <c r="D7" i="2" s="1"/>
  <c r="E14" i="6" l="1"/>
  <c r="D2" i="2" s="1"/>
  <c r="D13" i="21"/>
  <c r="H48" i="22"/>
  <c r="E48" i="22"/>
  <c r="D1" i="2" l="1"/>
  <c r="G4" i="9" l="1"/>
  <c r="C2" i="9"/>
  <c r="D14" i="8"/>
  <c r="C3" i="7"/>
  <c r="N9" i="7" s="1"/>
  <c r="K3" i="7"/>
  <c r="G3" i="7"/>
  <c r="D7" i="8" l="1"/>
  <c r="C19" i="4" l="1"/>
  <c r="D3" i="2" l="1"/>
  <c r="D24" i="8" l="1"/>
</calcChain>
</file>

<file path=xl/sharedStrings.xml><?xml version="1.0" encoding="utf-8"?>
<sst xmlns="http://schemas.openxmlformats.org/spreadsheetml/2006/main" count="329" uniqueCount="205">
  <si>
    <t>Actual Amount</t>
  </si>
  <si>
    <t>No.</t>
  </si>
  <si>
    <t>Name</t>
  </si>
  <si>
    <t>Date Transfer</t>
  </si>
  <si>
    <t>Payment Method</t>
  </si>
  <si>
    <t>1. Persetujuan dan Pemberi Izin</t>
  </si>
  <si>
    <t>Nama</t>
  </si>
  <si>
    <t>Tanda Tangan</t>
  </si>
  <si>
    <t>Tanggal</t>
  </si>
  <si>
    <t>Disusun Oleh: Sony Harianto</t>
  </si>
  <si>
    <t>Bendahara</t>
  </si>
  <si>
    <t>Ketua</t>
  </si>
  <si>
    <t>PIC</t>
  </si>
  <si>
    <t>Keterangan</t>
  </si>
  <si>
    <t>Perkiraan Biaya</t>
  </si>
  <si>
    <t>Lampu penerangan untuk tenda terpal</t>
  </si>
  <si>
    <t>Kabel ekstension 20 meter</t>
  </si>
  <si>
    <t>2 buah fitting lampu + steker</t>
  </si>
  <si>
    <t>Selang Air 5 meter</t>
  </si>
  <si>
    <t>Tambang 4 Rol</t>
  </si>
  <si>
    <t>Talang air 2 lubang + instalasi</t>
  </si>
  <si>
    <t>1 batang Pipa 3 inch</t>
  </si>
  <si>
    <t>2 kotak amal dan 2 gembok</t>
  </si>
  <si>
    <t>Penutup tempat sholat wanita (spanduk)</t>
  </si>
  <si>
    <t>Pemindahan 2 kipas angin dalam ke luar</t>
  </si>
  <si>
    <t>Papan Tulis laporan keuangan Musholla</t>
  </si>
  <si>
    <t>Token listrik</t>
  </si>
  <si>
    <t>Imam Sholat Isya dan Tarawih</t>
  </si>
  <si>
    <t>Pesantren Ramadhan (guru mengaji anak-anak)</t>
  </si>
  <si>
    <t xml:space="preserve">2 buah (atap dan alas) Terpal ukuran 4x10 meter </t>
  </si>
  <si>
    <t>Status</t>
  </si>
  <si>
    <t>Pak Ekal</t>
  </si>
  <si>
    <t>Pak Rodi</t>
  </si>
  <si>
    <t xml:space="preserve">Pak Yunus </t>
  </si>
  <si>
    <t>Sudah Transfer</t>
  </si>
  <si>
    <t>Pak Hendri</t>
  </si>
  <si>
    <t>Pak Aan</t>
  </si>
  <si>
    <t>Hamba Allah</t>
  </si>
  <si>
    <t>Tidak Perlu Biaya</t>
  </si>
  <si>
    <t>Penanggung Jawab</t>
  </si>
  <si>
    <t>Purpose</t>
  </si>
  <si>
    <t>Pak Yudi</t>
  </si>
  <si>
    <t>Cash</t>
  </si>
  <si>
    <t>Sudah diserahkan dalam bentuk barang</t>
  </si>
  <si>
    <t>Akan diserahkan dalam bentuk barang</t>
  </si>
  <si>
    <t>Total Biaya yg dibutuhkan (diluar point 1-4)</t>
  </si>
  <si>
    <t>Biaya</t>
  </si>
  <si>
    <t>Total Pengeluaran</t>
  </si>
  <si>
    <t>Tanggal Update</t>
  </si>
  <si>
    <t>Tanggal Keluar</t>
  </si>
  <si>
    <t>Metode Pembayaran</t>
  </si>
  <si>
    <t>Posisi Kas</t>
  </si>
  <si>
    <t>Kas Masuk</t>
  </si>
  <si>
    <t>Kas Keluar</t>
  </si>
  <si>
    <t>+ SGD 60 Sen</t>
  </si>
  <si>
    <t>Bu Ade</t>
  </si>
  <si>
    <t>Bedug</t>
  </si>
  <si>
    <t>Total</t>
  </si>
  <si>
    <t>Mimbar</t>
  </si>
  <si>
    <t>Infaq dan Sadaqoh</t>
  </si>
  <si>
    <t>Zakat Maal</t>
  </si>
  <si>
    <t>Amplop Zakat</t>
  </si>
  <si>
    <t>Noted</t>
  </si>
  <si>
    <t>Informasi dana</t>
  </si>
  <si>
    <t>LAPORAN KEUANGAN
Musholla Asshobirin</t>
  </si>
  <si>
    <t>Detail Kas Masuk</t>
  </si>
  <si>
    <t>Infaq dari tromol selama Ramadhan</t>
  </si>
  <si>
    <t>Infaq Sadaqoh</t>
  </si>
  <si>
    <t xml:space="preserve">Celengan </t>
  </si>
  <si>
    <t>Tromol</t>
  </si>
  <si>
    <t>Maal</t>
  </si>
  <si>
    <t>keuntungan beras</t>
  </si>
  <si>
    <t>Penarikan Celengan (3x)</t>
  </si>
  <si>
    <t>Detail Kas Keluar</t>
  </si>
  <si>
    <t>Imam Tarawih</t>
  </si>
  <si>
    <t>Papan Nama</t>
  </si>
  <si>
    <t>Dan Lain-lain</t>
  </si>
  <si>
    <t>Imam</t>
  </si>
  <si>
    <t>Bingkisan</t>
  </si>
  <si>
    <t>Spanduk, Lampu, Sabun, Kotak Infak dan Operasional Lainnya</t>
  </si>
  <si>
    <t>Zakat Fitrah (Amplop)</t>
  </si>
  <si>
    <t>Zakat Fitrah (Beras) Jamaah Musholla Asshobirin:</t>
  </si>
  <si>
    <t>Zakat</t>
  </si>
  <si>
    <t>Transfer ke Rek DKM</t>
  </si>
  <si>
    <t>Jumlah Pack</t>
  </si>
  <si>
    <t>Harga per pack</t>
  </si>
  <si>
    <t>No</t>
  </si>
  <si>
    <t>Status Pembayaran</t>
  </si>
  <si>
    <t>Sisa Untuk Infaq dan Sadaqoh</t>
  </si>
  <si>
    <t>Aan</t>
  </si>
  <si>
    <t>Lukman</t>
  </si>
  <si>
    <t>Masri</t>
  </si>
  <si>
    <t>PAID</t>
  </si>
  <si>
    <t>Octa</t>
  </si>
  <si>
    <t>Yudi G2</t>
  </si>
  <si>
    <t>Agus E11</t>
  </si>
  <si>
    <t>Rahman</t>
  </si>
  <si>
    <t>Total Beras (Pack)</t>
  </si>
  <si>
    <t>Carno</t>
  </si>
  <si>
    <t>Bilal</t>
  </si>
  <si>
    <t>Daftar Pengeluaran Untuk Sholat Ied</t>
  </si>
  <si>
    <t>Heru T2</t>
  </si>
  <si>
    <t>Ade H3</t>
  </si>
  <si>
    <t>Alfi Q15</t>
  </si>
  <si>
    <t>Rian</t>
  </si>
  <si>
    <t>Iwan</t>
  </si>
  <si>
    <t>Edo</t>
  </si>
  <si>
    <t>Haryanto</t>
  </si>
  <si>
    <t>Engkong</t>
  </si>
  <si>
    <t xml:space="preserve">Susu </t>
  </si>
  <si>
    <t xml:space="preserve">Gula </t>
  </si>
  <si>
    <t xml:space="preserve">Mentega </t>
  </si>
  <si>
    <t xml:space="preserve">Teh </t>
  </si>
  <si>
    <t xml:space="preserve">Kopi </t>
  </si>
  <si>
    <t xml:space="preserve">Mie Goreng </t>
  </si>
  <si>
    <t xml:space="preserve">Mie Rebus </t>
  </si>
  <si>
    <t xml:space="preserve">Kecap </t>
  </si>
  <si>
    <t xml:space="preserve">Saus </t>
  </si>
  <si>
    <t xml:space="preserve">Minyak Goreng </t>
  </si>
  <si>
    <t xml:space="preserve">Biskuit </t>
  </si>
  <si>
    <t xml:space="preserve">Hampers </t>
  </si>
  <si>
    <t xml:space="preserve">Plastik </t>
  </si>
  <si>
    <t>Nilai (Rp)</t>
  </si>
  <si>
    <t>Sony Kav 11</t>
  </si>
  <si>
    <t>Sae Kav 8</t>
  </si>
  <si>
    <t>Robi</t>
  </si>
  <si>
    <t>Bambang</t>
  </si>
  <si>
    <t>Novrezal</t>
  </si>
  <si>
    <t>Bayu Aji</t>
  </si>
  <si>
    <t>Rasyid</t>
  </si>
  <si>
    <t>Danang</t>
  </si>
  <si>
    <t>Bram</t>
  </si>
  <si>
    <t>Ekal</t>
  </si>
  <si>
    <t>Budi -G/5</t>
  </si>
  <si>
    <t>Rakesh T1A</t>
  </si>
  <si>
    <t>Aris - E9</t>
  </si>
  <si>
    <t>Sandi - O15</t>
  </si>
  <si>
    <t>Damar - Q30</t>
  </si>
  <si>
    <t>Alex</t>
  </si>
  <si>
    <t>Aan Galuh -Q3</t>
  </si>
  <si>
    <t>Komarudin</t>
  </si>
  <si>
    <t>Hendra Blok D12</t>
  </si>
  <si>
    <t>Idham</t>
  </si>
  <si>
    <t>H.Agus</t>
  </si>
  <si>
    <t>Nurdin</t>
  </si>
  <si>
    <t>Ryan Q6</t>
  </si>
  <si>
    <t>Tegar R10</t>
  </si>
  <si>
    <t>Milzam P7</t>
  </si>
  <si>
    <t>Syarif H3A</t>
  </si>
  <si>
    <t>Daftar Pengeluaran Untuk Kegiatan Zakat Fitrah</t>
  </si>
  <si>
    <t>Spidol (2)</t>
  </si>
  <si>
    <t>Edi P9</t>
  </si>
  <si>
    <t>Rizki G1</t>
  </si>
  <si>
    <t>Beras bawa sendiri (BS),
penyaluran lewat asshobirin</t>
  </si>
  <si>
    <t>Jatmiko P9A</t>
  </si>
  <si>
    <t>Aji J1</t>
  </si>
  <si>
    <t>Syarif H3A #2</t>
  </si>
  <si>
    <t>Rodi P2</t>
  </si>
  <si>
    <t>Rahmad R8</t>
  </si>
  <si>
    <t>Bari R1</t>
  </si>
  <si>
    <t>Eko</t>
  </si>
  <si>
    <t>Lukmanul Hakim</t>
  </si>
  <si>
    <t>Sartika P17</t>
  </si>
  <si>
    <t xml:space="preserve">Bambang </t>
  </si>
  <si>
    <t>Liswar</t>
  </si>
  <si>
    <t>Doni</t>
  </si>
  <si>
    <t>Sukija</t>
  </si>
  <si>
    <t>RT Rosadi</t>
  </si>
  <si>
    <t>RW Lama (Asep)</t>
  </si>
  <si>
    <t>Sekitar rumah bang Ade Sec.</t>
  </si>
  <si>
    <t>Sec.</t>
  </si>
  <si>
    <t>H. Husen</t>
  </si>
  <si>
    <t>Disetujui Oleh: Pak Octa</t>
  </si>
  <si>
    <t>Infaq Sadaqoh Jamaah</t>
  </si>
  <si>
    <t>TRF - BSI</t>
  </si>
  <si>
    <t>Infaq Tromol Jamaah</t>
  </si>
  <si>
    <t>Ust Misan</t>
  </si>
  <si>
    <t>Ust Dadan</t>
  </si>
  <si>
    <t>H. Agus</t>
  </si>
  <si>
    <t>Malam Ramadhan</t>
  </si>
  <si>
    <t>Ust Sulaiman</t>
  </si>
  <si>
    <t>Kajian Edisi Ramadhan</t>
  </si>
  <si>
    <t>ok</t>
  </si>
  <si>
    <t>Bingkisan Idul Fitri</t>
  </si>
  <si>
    <t>Banner Zakat</t>
  </si>
  <si>
    <t>Banner Idul Fitri</t>
  </si>
  <si>
    <t>Infaq Pembelian Beras</t>
  </si>
  <si>
    <t>LAPORAN PERTANGGUNGJAWABAN KEUANGAN
Edisi Ramadhan 1446H
Musholla Asshobirin</t>
  </si>
  <si>
    <t>Ust Nur</t>
  </si>
  <si>
    <t>Ust Aan</t>
  </si>
  <si>
    <t>Ust Rahman</t>
  </si>
  <si>
    <t>H. Husein</t>
  </si>
  <si>
    <t>Ust Har</t>
  </si>
  <si>
    <t>Ust Yudi</t>
  </si>
  <si>
    <t>Operasional (Kamper Kamar Mandi #2, Alkaline #2, Tissue #3, Cling #2)</t>
  </si>
  <si>
    <t>Imam + Bilal Idul Fitri 1446H</t>
  </si>
  <si>
    <t>Mustahik Zakat Fitrah Asshobiirin</t>
  </si>
  <si>
    <t>Infaq Pak Rahman</t>
  </si>
  <si>
    <t>Infaq Pak Nur</t>
  </si>
  <si>
    <t>Infaq Blok QR</t>
  </si>
  <si>
    <t>Ust. Sulaiman</t>
  </si>
  <si>
    <t>Ust Zaki</t>
  </si>
  <si>
    <t>Ramadhan [Malam]</t>
  </si>
  <si>
    <t>Infaq Kotak Amal</t>
  </si>
  <si>
    <t>Islamic Festival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</si>
</sst>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1" formatCode="_-* #,##0_-;\-* #,##0_-;_-* &quot;-&quot;_-;_-@_-"/>
    <numFmt numFmtId="43" formatCode="_-* #,##0.00_-;\-* #,##0.00_-;_-* &quot;-&quot;??_-;_-@_-"/>
    <numFmt numFmtId="164" formatCode="_(* #,##0.00_);_(* \(#,##0.00\);_(* &quot;-&quot;??_);_(@_)"/>
    <numFmt numFmtId="165" formatCode="_-[$Rp-3809]* #,##0.00_-;\-[$Rp-3809]* #,##0.00_-;_-[$Rp-3809]* &quot;-&quot;??_-;_-@_-"/>
    <numFmt numFmtId="166" formatCode="[$-F800]dddd\,\ mmmm\ dd\,\ yyyy"/>
    <numFmt numFmtId="167" formatCode="_([$IDR]\ * #,##0.00_);_([$IDR]\ * \(#,##0.00\);_([$IDR]\ * &quot;-&quot;??_);_(@_)"/>
    <numFmt numFmtId="168" formatCode="_-* #,##0.00_-;\-* #,##0.00_-;_-* &quot;-&quot;_-;_-@_-"/>
  </numFmts>
  <fonts count="8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24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9"/>
      </patternFill>
    </fill>
    <fill>
      <patternFill patternType="solid">
        <fgColor rgb="FFFFFF00"/>
        <bgColor indexed="64"/>
      </patternFill>
    </fill>
    <fill>
      <patternFill patternType="solid">
        <fgColor rgb="FF99CCFF"/>
        <bgColor rgb="FFCCCCFF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rgb="FF000001"/>
      </left>
      <right style="hair">
        <color rgb="FF000001"/>
      </right>
      <top style="hair">
        <color rgb="FF000001"/>
      </top>
      <bottom style="hair">
        <color rgb="FF000001"/>
      </bottom>
      <diagonal/>
    </border>
    <border>
      <left style="hair">
        <color rgb="FF000001"/>
      </left>
      <right style="hair">
        <color rgb="FF000001"/>
      </right>
      <top/>
      <bottom style="hair">
        <color rgb="FF00000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164" fontId="6" fillId="0" borderId="0" applyFont="0" applyFill="0" applyBorder="0" applyAlignment="0" applyProtection="0"/>
    <xf numFmtId="41" fontId="6" fillId="0" borderId="0" applyFont="0" applyFill="0" applyBorder="0" applyAlignment="0" applyProtection="0"/>
  </cellStyleXfs>
  <cellXfs count="68">
    <xf numFmtId="0" fontId="0" fillId="0" borderId="0" xfId="0"/>
    <xf numFmtId="165" fontId="0" fillId="0" borderId="0" xfId="0" applyNumberFormat="1"/>
    <xf numFmtId="0" fontId="0" fillId="3" borderId="1" xfId="0" applyFill="1" applyBorder="1"/>
    <xf numFmtId="0" fontId="0" fillId="0" borderId="1" xfId="0" applyBorder="1"/>
    <xf numFmtId="166" fontId="0" fillId="0" borderId="1" xfId="0" applyNumberFormat="1" applyBorder="1"/>
    <xf numFmtId="165" fontId="0" fillId="0" borderId="1" xfId="0" applyNumberFormat="1" applyBorder="1"/>
    <xf numFmtId="165" fontId="0" fillId="0" borderId="1" xfId="0" applyNumberFormat="1" applyBorder="1" applyAlignment="1">
      <alignment horizontal="left" vertical="top"/>
    </xf>
    <xf numFmtId="0" fontId="3" fillId="0" borderId="0" xfId="0" applyFont="1" applyAlignment="1">
      <alignment horizontal="center"/>
    </xf>
    <xf numFmtId="0" fontId="3" fillId="0" borderId="0" xfId="0" applyFont="1"/>
    <xf numFmtId="0" fontId="3" fillId="4" borderId="2" xfId="0" applyFont="1" applyFill="1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0" fillId="0" borderId="3" xfId="0" applyBorder="1" applyAlignment="1">
      <alignment wrapText="1"/>
    </xf>
    <xf numFmtId="0" fontId="0" fillId="5" borderId="1" xfId="0" applyFill="1" applyBorder="1"/>
    <xf numFmtId="0" fontId="0" fillId="3" borderId="6" xfId="0" applyFill="1" applyBorder="1"/>
    <xf numFmtId="0" fontId="0" fillId="0" borderId="1" xfId="0" applyBorder="1" applyAlignment="1">
      <alignment wrapText="1"/>
    </xf>
    <xf numFmtId="0" fontId="0" fillId="5" borderId="1" xfId="0" applyFill="1" applyBorder="1" applyAlignment="1">
      <alignment wrapText="1"/>
    </xf>
    <xf numFmtId="165" fontId="0" fillId="0" borderId="7" xfId="0" applyNumberFormat="1" applyBorder="1" applyAlignment="1">
      <alignment vertical="top"/>
    </xf>
    <xf numFmtId="165" fontId="0" fillId="0" borderId="5" xfId="0" applyNumberFormat="1" applyBorder="1" applyAlignment="1">
      <alignment vertical="top"/>
    </xf>
    <xf numFmtId="165" fontId="0" fillId="6" borderId="1" xfId="0" applyNumberFormat="1" applyFill="1" applyBorder="1" applyAlignment="1">
      <alignment vertical="top"/>
    </xf>
    <xf numFmtId="165" fontId="1" fillId="2" borderId="1" xfId="1" applyNumberFormat="1" applyBorder="1"/>
    <xf numFmtId="165" fontId="0" fillId="0" borderId="0" xfId="0" quotePrefix="1" applyNumberFormat="1"/>
    <xf numFmtId="165" fontId="0" fillId="0" borderId="6" xfId="0" applyNumberFormat="1" applyBorder="1"/>
    <xf numFmtId="0" fontId="5" fillId="0" borderId="0" xfId="0" applyFont="1"/>
    <xf numFmtId="0" fontId="0" fillId="0" borderId="1" xfId="0" quotePrefix="1" applyBorder="1"/>
    <xf numFmtId="165" fontId="0" fillId="5" borderId="1" xfId="0" applyNumberFormat="1" applyFill="1" applyBorder="1"/>
    <xf numFmtId="165" fontId="0" fillId="7" borderId="1" xfId="0" applyNumberFormat="1" applyFill="1" applyBorder="1"/>
    <xf numFmtId="167" fontId="0" fillId="0" borderId="0" xfId="2" applyNumberFormat="1" applyFont="1"/>
    <xf numFmtId="167" fontId="0" fillId="0" borderId="0" xfId="0" applyNumberFormat="1"/>
    <xf numFmtId="0" fontId="0" fillId="0" borderId="0" xfId="0" applyAlignment="1">
      <alignment horizontal="left"/>
    </xf>
    <xf numFmtId="168" fontId="0" fillId="0" borderId="0" xfId="3" applyNumberFormat="1" applyFont="1"/>
    <xf numFmtId="43" fontId="0" fillId="0" borderId="0" xfId="0" applyNumberFormat="1"/>
    <xf numFmtId="168" fontId="0" fillId="0" borderId="1" xfId="3" applyNumberFormat="1" applyFont="1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167" fontId="0" fillId="0" borderId="1" xfId="2" applyNumberFormat="1" applyFont="1" applyBorder="1"/>
    <xf numFmtId="167" fontId="0" fillId="0" borderId="1" xfId="0" applyNumberFormat="1" applyBorder="1"/>
    <xf numFmtId="0" fontId="0" fillId="8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 wrapText="1"/>
    </xf>
    <xf numFmtId="0" fontId="0" fillId="9" borderId="1" xfId="0" applyFill="1" applyBorder="1"/>
    <xf numFmtId="167" fontId="0" fillId="9" borderId="1" xfId="2" applyNumberFormat="1" applyFont="1" applyFill="1" applyBorder="1"/>
    <xf numFmtId="167" fontId="0" fillId="9" borderId="1" xfId="0" applyNumberFormat="1" applyFill="1" applyBorder="1"/>
    <xf numFmtId="0" fontId="0" fillId="0" borderId="5" xfId="0" applyBorder="1"/>
    <xf numFmtId="0" fontId="0" fillId="0" borderId="4" xfId="0" applyBorder="1"/>
    <xf numFmtId="0" fontId="0" fillId="0" borderId="0" xfId="2" applyNumberFormat="1" applyFont="1"/>
    <xf numFmtId="15" fontId="0" fillId="0" borderId="1" xfId="0" applyNumberFormat="1" applyBorder="1"/>
    <xf numFmtId="0" fontId="0" fillId="6" borderId="1" xfId="0" applyFill="1" applyBorder="1" applyAlignment="1">
      <alignment horizontal="center"/>
    </xf>
    <xf numFmtId="168" fontId="0" fillId="6" borderId="1" xfId="3" applyNumberFormat="1" applyFont="1" applyFill="1" applyBorder="1"/>
    <xf numFmtId="0" fontId="0" fillId="6" borderId="1" xfId="0" applyFill="1" applyBorder="1"/>
    <xf numFmtId="0" fontId="0" fillId="0" borderId="0" xfId="0" quotePrefix="1"/>
    <xf numFmtId="0" fontId="0" fillId="3" borderId="1" xfId="0" applyFill="1" applyBorder="1" applyAlignment="1">
      <alignment horizontal="center"/>
    </xf>
    <xf numFmtId="168" fontId="0" fillId="3" borderId="1" xfId="3" applyNumberFormat="1" applyFont="1" applyFill="1" applyBorder="1"/>
    <xf numFmtId="0" fontId="2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0" fillId="0" borderId="8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166" fontId="0" fillId="0" borderId="8" xfId="0" applyNumberFormat="1" applyBorder="1" applyAlignment="1">
      <alignment horizontal="right" vertical="center"/>
    </xf>
    <xf numFmtId="166" fontId="0" fillId="0" borderId="9" xfId="0" applyNumberFormat="1" applyBorder="1" applyAlignment="1">
      <alignment horizontal="right" vertical="center"/>
    </xf>
    <xf numFmtId="0" fontId="0" fillId="0" borderId="8" xfId="0" applyBorder="1" applyAlignment="1">
      <alignment horizontal="right" vertical="center"/>
    </xf>
    <xf numFmtId="0" fontId="0" fillId="0" borderId="9" xfId="0" applyBorder="1" applyAlignment="1">
      <alignment horizontal="right" vertical="center"/>
    </xf>
    <xf numFmtId="0" fontId="0" fillId="6" borderId="4" xfId="0" applyFill="1" applyBorder="1" applyAlignment="1">
      <alignment horizontal="center"/>
    </xf>
    <xf numFmtId="0" fontId="0" fillId="6" borderId="7" xfId="0" applyFill="1" applyBorder="1" applyAlignment="1">
      <alignment horizontal="center"/>
    </xf>
    <xf numFmtId="0" fontId="0" fillId="6" borderId="5" xfId="0" applyFill="1" applyBorder="1" applyAlignment="1">
      <alignment horizontal="center"/>
    </xf>
    <xf numFmtId="0" fontId="0" fillId="0" borderId="0" xfId="0" applyAlignment="1">
      <alignment horizontal="left"/>
    </xf>
    <xf numFmtId="0" fontId="0" fillId="9" borderId="4" xfId="0" applyFill="1" applyBorder="1" applyAlignment="1">
      <alignment horizontal="center"/>
    </xf>
    <xf numFmtId="0" fontId="0" fillId="9" borderId="5" xfId="0" applyFill="1" applyBorder="1" applyAlignment="1">
      <alignment horizontal="center"/>
    </xf>
    <xf numFmtId="0" fontId="7" fillId="0" borderId="10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</cellXfs>
  <cellStyles count="4">
    <cellStyle name="Accent6" xfId="1" builtinId="49"/>
    <cellStyle name="Comma" xfId="2" builtinId="3"/>
    <cellStyle name="Comma [0]" xfId="3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E2E4D-CA50-43C8-B3C2-AB4D5058A521}">
  <dimension ref="A1:E8"/>
  <sheetViews>
    <sheetView tabSelected="1" workbookViewId="0">
      <selection activeCell="A8" sqref="A8:XFD8"/>
    </sheetView>
  </sheetViews>
  <sheetFormatPr defaultRowHeight="14.5" x14ac:dyDescent="0.35"/>
  <cols>
    <col min="1" max="1" width="86.1796875" bestFit="1" customWidth="1"/>
    <col min="2" max="2" width="27.1796875" bestFit="1" customWidth="1"/>
    <col min="3" max="3" width="23.81640625" bestFit="1" customWidth="1"/>
    <col min="4" max="4" width="17.1796875" bestFit="1" customWidth="1"/>
  </cols>
  <sheetData>
    <row r="1" spans="1:5" ht="55.5" customHeight="1" x14ac:dyDescent="0.35">
      <c r="A1" s="52" t="s">
        <v>187</v>
      </c>
      <c r="B1" s="53"/>
      <c r="C1" s="53"/>
      <c r="D1" s="53"/>
      <c r="E1" s="53"/>
    </row>
    <row r="2" spans="1:5" x14ac:dyDescent="0.35">
      <c r="E2" s="7"/>
    </row>
    <row r="4" spans="1:5" x14ac:dyDescent="0.35">
      <c r="A4" s="8" t="s">
        <v>5</v>
      </c>
    </row>
    <row r="6" spans="1:5" x14ac:dyDescent="0.35">
      <c r="A6" s="9" t="s">
        <v>6</v>
      </c>
      <c r="B6" s="9" t="s">
        <v>39</v>
      </c>
      <c r="C6" s="9" t="s">
        <v>7</v>
      </c>
      <c r="D6" s="9" t="s">
        <v>8</v>
      </c>
    </row>
    <row r="7" spans="1:5" x14ac:dyDescent="0.35">
      <c r="A7" s="10" t="s">
        <v>9</v>
      </c>
      <c r="B7" s="10" t="s">
        <v>10</v>
      </c>
      <c r="C7" s="10"/>
      <c r="D7" s="10"/>
    </row>
    <row r="8" spans="1:5" x14ac:dyDescent="0.35">
      <c r="A8" s="11" t="s">
        <v>172</v>
      </c>
      <c r="B8" s="12" t="s">
        <v>11</v>
      </c>
      <c r="C8" s="11"/>
      <c r="D8" s="11"/>
    </row>
  </sheetData>
  <mergeCells count="1">
    <mergeCell ref="A1:E1"/>
  </mergeCells>
  <pageMargins left="0.7" right="0.7" top="0.75" bottom="0.75" header="0.3" footer="0.3"/>
  <headerFooter>
    <oddFooter>&amp;C_x000D_&amp;1#&amp;"Arial"&amp;8&amp;K2E404D Sensitivity Label: General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F61B07-8782-4D7F-A9F7-80BFD540AC9C}">
  <dimension ref="A1:I16"/>
  <sheetViews>
    <sheetView zoomScale="90" zoomScaleNormal="90" workbookViewId="0">
      <selection activeCell="C12" sqref="C12"/>
    </sheetView>
  </sheetViews>
  <sheetFormatPr defaultRowHeight="14.5" x14ac:dyDescent="0.35"/>
  <cols>
    <col min="2" max="2" width="38.453125" bestFit="1" customWidth="1"/>
    <col min="3" max="3" width="30" bestFit="1" customWidth="1"/>
    <col min="4" max="4" width="19.1796875" bestFit="1" customWidth="1"/>
    <col min="5" max="5" width="16.453125" bestFit="1" customWidth="1"/>
    <col min="6" max="6" width="31.1796875" bestFit="1" customWidth="1"/>
    <col min="7" max="7" width="29.1796875" bestFit="1" customWidth="1"/>
    <col min="8" max="8" width="25" bestFit="1" customWidth="1"/>
    <col min="9" max="9" width="16.1796875" bestFit="1" customWidth="1"/>
  </cols>
  <sheetData>
    <row r="1" spans="1:9" x14ac:dyDescent="0.35">
      <c r="B1" s="3" t="s">
        <v>52</v>
      </c>
      <c r="C1" s="3" t="s">
        <v>57</v>
      </c>
      <c r="D1" s="20">
        <f>SUM(D6:D31)</f>
        <v>8791786</v>
      </c>
      <c r="E1" s="21"/>
      <c r="G1" s="5" t="s">
        <v>48</v>
      </c>
      <c r="H1" s="4">
        <v>45746</v>
      </c>
    </row>
    <row r="2" spans="1:9" x14ac:dyDescent="0.35">
      <c r="B2" s="3" t="s">
        <v>53</v>
      </c>
      <c r="C2" s="3" t="s">
        <v>57</v>
      </c>
      <c r="D2" s="20">
        <f>'Cash-Out'!E14</f>
        <v>7388500</v>
      </c>
      <c r="E2" s="1"/>
      <c r="G2" s="1"/>
    </row>
    <row r="3" spans="1:9" x14ac:dyDescent="0.35">
      <c r="B3" s="3" t="s">
        <v>51</v>
      </c>
      <c r="C3" s="3" t="s">
        <v>57</v>
      </c>
      <c r="D3" s="20">
        <f>D1-D2</f>
        <v>1403286</v>
      </c>
      <c r="E3" s="21"/>
    </row>
    <row r="4" spans="1:9" x14ac:dyDescent="0.35">
      <c r="D4" s="1"/>
    </row>
    <row r="5" spans="1:9" x14ac:dyDescent="0.35">
      <c r="A5" s="2" t="s">
        <v>1</v>
      </c>
      <c r="B5" s="2" t="s">
        <v>2</v>
      </c>
      <c r="C5" s="2" t="s">
        <v>3</v>
      </c>
      <c r="D5" s="2" t="s">
        <v>0</v>
      </c>
      <c r="E5" s="2" t="s">
        <v>4</v>
      </c>
      <c r="F5" s="14" t="s">
        <v>40</v>
      </c>
    </row>
    <row r="6" spans="1:9" x14ac:dyDescent="0.35">
      <c r="A6" s="3">
        <v>1</v>
      </c>
      <c r="B6" s="3" t="s">
        <v>173</v>
      </c>
      <c r="C6" s="4">
        <v>45716</v>
      </c>
      <c r="D6" s="5">
        <v>5937786</v>
      </c>
      <c r="E6" s="6" t="s">
        <v>174</v>
      </c>
      <c r="F6" s="15"/>
      <c r="G6" s="15"/>
    </row>
    <row r="7" spans="1:9" x14ac:dyDescent="0.35">
      <c r="A7" s="3">
        <v>2</v>
      </c>
      <c r="B7" s="3" t="s">
        <v>175</v>
      </c>
      <c r="C7" s="4">
        <v>45746</v>
      </c>
      <c r="D7" s="5">
        <f>'InfaqTromol 1446H'!B32</f>
        <v>624000</v>
      </c>
      <c r="E7" s="6" t="s">
        <v>42</v>
      </c>
      <c r="F7" s="15"/>
      <c r="G7" s="3"/>
      <c r="I7" s="1"/>
    </row>
    <row r="8" spans="1:9" x14ac:dyDescent="0.35">
      <c r="A8" s="3">
        <v>3</v>
      </c>
      <c r="B8" s="3" t="s">
        <v>186</v>
      </c>
      <c r="C8" s="4">
        <v>45746</v>
      </c>
      <c r="D8" s="5">
        <v>0</v>
      </c>
      <c r="E8" s="6" t="s">
        <v>42</v>
      </c>
      <c r="F8" s="15"/>
      <c r="G8" s="3"/>
    </row>
    <row r="9" spans="1:9" x14ac:dyDescent="0.35">
      <c r="A9" s="3">
        <v>4</v>
      </c>
      <c r="B9" s="3" t="s">
        <v>198</v>
      </c>
      <c r="C9" s="4">
        <v>45717</v>
      </c>
      <c r="D9" s="5">
        <v>200000</v>
      </c>
      <c r="E9" s="6" t="s">
        <v>42</v>
      </c>
      <c r="F9" s="15"/>
      <c r="G9" s="15"/>
    </row>
    <row r="10" spans="1:9" x14ac:dyDescent="0.35">
      <c r="A10" s="3">
        <v>5</v>
      </c>
      <c r="B10" s="3" t="s">
        <v>197</v>
      </c>
      <c r="C10" s="4">
        <v>45719</v>
      </c>
      <c r="D10" s="5">
        <v>1000000</v>
      </c>
      <c r="E10" s="6" t="s">
        <v>42</v>
      </c>
      <c r="F10" s="15"/>
      <c r="G10" s="3"/>
    </row>
    <row r="11" spans="1:9" x14ac:dyDescent="0.35">
      <c r="A11" s="3">
        <v>6</v>
      </c>
      <c r="B11" s="3" t="s">
        <v>199</v>
      </c>
      <c r="C11" s="4">
        <v>45728</v>
      </c>
      <c r="D11" s="5">
        <v>250000</v>
      </c>
      <c r="E11" s="6" t="s">
        <v>42</v>
      </c>
      <c r="F11" s="15"/>
      <c r="G11" s="15"/>
    </row>
    <row r="12" spans="1:9" x14ac:dyDescent="0.35">
      <c r="A12" s="3">
        <v>7</v>
      </c>
      <c r="B12" s="3" t="s">
        <v>203</v>
      </c>
      <c r="C12" s="4">
        <v>45734</v>
      </c>
      <c r="D12" s="5">
        <v>780000</v>
      </c>
      <c r="E12" s="6" t="s">
        <v>42</v>
      </c>
      <c r="F12" s="3"/>
      <c r="G12" s="3"/>
    </row>
    <row r="13" spans="1:9" x14ac:dyDescent="0.35">
      <c r="A13" s="3">
        <v>8</v>
      </c>
      <c r="B13" s="3"/>
      <c r="C13" s="4"/>
      <c r="D13" s="5"/>
      <c r="E13" s="6"/>
      <c r="F13" s="3"/>
      <c r="G13" s="3"/>
    </row>
    <row r="14" spans="1:9" x14ac:dyDescent="0.35">
      <c r="A14" s="3">
        <v>9</v>
      </c>
      <c r="B14" s="3"/>
      <c r="C14" s="4"/>
      <c r="D14" s="5"/>
      <c r="E14" s="6"/>
      <c r="F14" s="15"/>
      <c r="G14" s="15"/>
    </row>
    <row r="15" spans="1:9" x14ac:dyDescent="0.35">
      <c r="A15" s="58">
        <v>10</v>
      </c>
      <c r="B15" s="54"/>
      <c r="C15" s="56"/>
      <c r="D15" s="5"/>
      <c r="E15" s="6"/>
      <c r="F15" s="54"/>
      <c r="G15" s="54"/>
      <c r="I15" s="1"/>
    </row>
    <row r="16" spans="1:9" x14ac:dyDescent="0.35">
      <c r="A16" s="59"/>
      <c r="B16" s="55"/>
      <c r="C16" s="57"/>
      <c r="D16" s="5"/>
      <c r="E16" s="6"/>
      <c r="F16" s="55"/>
      <c r="G16" s="55"/>
    </row>
  </sheetData>
  <mergeCells count="5">
    <mergeCell ref="G15:G16"/>
    <mergeCell ref="B15:B16"/>
    <mergeCell ref="C15:C16"/>
    <mergeCell ref="F15:F16"/>
    <mergeCell ref="A15:A16"/>
  </mergeCells>
  <phoneticPr fontId="4" type="noConversion"/>
  <pageMargins left="0.7" right="0.7" top="0.75" bottom="0.75" header="0.3" footer="0.3"/>
  <pageSetup orientation="portrait" r:id="rId1"/>
  <headerFooter>
    <oddFooter>&amp;C_x000D_&amp;1#&amp;"Arial"&amp;8&amp;K2E404D Sensitivity Label: General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6E8D2-BAC5-41D2-B838-D97B40124BD5}">
  <dimension ref="A3:H1048290"/>
  <sheetViews>
    <sheetView zoomScale="85" zoomScaleNormal="85" workbookViewId="0">
      <selection activeCell="H14" sqref="H14"/>
    </sheetView>
  </sheetViews>
  <sheetFormatPr defaultRowHeight="14.5" x14ac:dyDescent="0.35"/>
  <cols>
    <col min="1" max="1" width="3.81640625" bestFit="1" customWidth="1"/>
    <col min="2" max="2" width="59.90625" bestFit="1" customWidth="1"/>
    <col min="3" max="3" width="22.453125" bestFit="1" customWidth="1"/>
    <col min="4" max="4" width="18.453125" bestFit="1" customWidth="1"/>
    <col min="5" max="5" width="15.7265625" bestFit="1" customWidth="1"/>
    <col min="6" max="6" width="3.7265625" bestFit="1" customWidth="1"/>
    <col min="7" max="7" width="8.453125" bestFit="1" customWidth="1"/>
    <col min="8" max="8" width="14.08984375" bestFit="1" customWidth="1"/>
    <col min="9" max="9" width="14.1796875" bestFit="1" customWidth="1"/>
    <col min="10" max="10" width="15.1796875" bestFit="1" customWidth="1"/>
    <col min="11" max="11" width="9.81640625" bestFit="1" customWidth="1"/>
    <col min="12" max="12" width="12.81640625" bestFit="1" customWidth="1"/>
  </cols>
  <sheetData>
    <row r="3" spans="1:8" x14ac:dyDescent="0.35">
      <c r="A3" s="2" t="s">
        <v>1</v>
      </c>
      <c r="B3" s="2" t="s">
        <v>13</v>
      </c>
      <c r="C3" s="2" t="s">
        <v>49</v>
      </c>
      <c r="D3" s="2" t="s">
        <v>50</v>
      </c>
      <c r="E3" s="2" t="s">
        <v>46</v>
      </c>
      <c r="F3" s="2" t="s">
        <v>12</v>
      </c>
    </row>
    <row r="4" spans="1:8" x14ac:dyDescent="0.35">
      <c r="A4" s="3">
        <v>1</v>
      </c>
      <c r="B4" s="3" t="s">
        <v>77</v>
      </c>
      <c r="C4" s="4">
        <v>45746</v>
      </c>
      <c r="D4" s="3" t="s">
        <v>42</v>
      </c>
      <c r="E4" s="5">
        <f>'AmplopImam 1446H'!B32</f>
        <v>3000000</v>
      </c>
      <c r="F4" s="5"/>
    </row>
    <row r="5" spans="1:8" x14ac:dyDescent="0.35">
      <c r="A5" s="3">
        <v>2</v>
      </c>
      <c r="B5" s="3" t="s">
        <v>181</v>
      </c>
      <c r="C5" s="4">
        <v>45718</v>
      </c>
      <c r="D5" s="3" t="s">
        <v>42</v>
      </c>
      <c r="E5" s="5">
        <v>600000</v>
      </c>
      <c r="F5" s="5"/>
    </row>
    <row r="6" spans="1:8" ht="29" x14ac:dyDescent="0.35">
      <c r="A6" s="3">
        <v>3</v>
      </c>
      <c r="B6" s="15" t="s">
        <v>194</v>
      </c>
      <c r="C6" s="4">
        <v>45716</v>
      </c>
      <c r="D6" s="3" t="s">
        <v>42</v>
      </c>
      <c r="E6" s="5">
        <v>325000</v>
      </c>
      <c r="F6" s="5"/>
      <c r="H6" s="1"/>
    </row>
    <row r="7" spans="1:8" x14ac:dyDescent="0.35">
      <c r="A7" s="3">
        <v>4</v>
      </c>
      <c r="B7" s="3" t="s">
        <v>183</v>
      </c>
      <c r="C7" s="4">
        <v>45746</v>
      </c>
      <c r="D7" s="3" t="s">
        <v>42</v>
      </c>
      <c r="E7" s="5">
        <f>'Bingkisan 1446H'!F15</f>
        <v>535000</v>
      </c>
      <c r="F7" s="5"/>
    </row>
    <row r="8" spans="1:8" x14ac:dyDescent="0.35">
      <c r="A8" s="3">
        <v>5</v>
      </c>
      <c r="B8" s="3" t="s">
        <v>184</v>
      </c>
      <c r="C8" s="4">
        <v>45736</v>
      </c>
      <c r="D8" s="3" t="s">
        <v>174</v>
      </c>
      <c r="E8" s="5">
        <v>120000</v>
      </c>
      <c r="F8" s="5"/>
    </row>
    <row r="9" spans="1:8" x14ac:dyDescent="0.35">
      <c r="A9" s="3">
        <v>6</v>
      </c>
      <c r="B9" s="3" t="s">
        <v>185</v>
      </c>
      <c r="C9" s="4">
        <v>45736</v>
      </c>
      <c r="D9" s="3" t="s">
        <v>174</v>
      </c>
      <c r="E9" s="5">
        <v>120000</v>
      </c>
      <c r="F9" s="5"/>
    </row>
    <row r="10" spans="1:8" x14ac:dyDescent="0.35">
      <c r="A10" s="3">
        <v>7</v>
      </c>
      <c r="B10" s="3" t="s">
        <v>195</v>
      </c>
      <c r="C10" s="4">
        <v>45746</v>
      </c>
      <c r="D10" s="3" t="s">
        <v>174</v>
      </c>
      <c r="E10" s="5">
        <v>1250000</v>
      </c>
      <c r="F10" s="5"/>
    </row>
    <row r="11" spans="1:8" x14ac:dyDescent="0.35">
      <c r="A11" s="3">
        <v>8</v>
      </c>
      <c r="B11" s="3" t="s">
        <v>204</v>
      </c>
      <c r="C11" s="4">
        <v>45738</v>
      </c>
      <c r="D11" s="3" t="s">
        <v>174</v>
      </c>
      <c r="E11" s="5">
        <v>838500</v>
      </c>
      <c r="F11" s="5"/>
      <c r="H11" s="1"/>
    </row>
    <row r="12" spans="1:8" x14ac:dyDescent="0.35">
      <c r="A12" s="3">
        <v>9</v>
      </c>
      <c r="B12" s="3" t="s">
        <v>181</v>
      </c>
      <c r="C12" s="4">
        <v>45718</v>
      </c>
      <c r="D12" s="3" t="s">
        <v>42</v>
      </c>
      <c r="E12" s="5">
        <v>600000</v>
      </c>
      <c r="F12" s="5"/>
    </row>
    <row r="13" spans="1:8" x14ac:dyDescent="0.35">
      <c r="A13" s="3"/>
      <c r="B13" s="3"/>
      <c r="C13" s="45"/>
      <c r="D13" s="3"/>
      <c r="E13" s="5"/>
      <c r="F13" s="3"/>
      <c r="H13" s="1"/>
    </row>
    <row r="14" spans="1:8" x14ac:dyDescent="0.35">
      <c r="A14" s="60" t="s">
        <v>47</v>
      </c>
      <c r="B14" s="61"/>
      <c r="C14" s="61"/>
      <c r="D14" s="62"/>
      <c r="E14" s="19">
        <f>SUM(E4:E13)</f>
        <v>7388500</v>
      </c>
      <c r="F14" s="19"/>
    </row>
    <row r="1048290" spans="3:3" x14ac:dyDescent="0.35">
      <c r="C1048290" s="4"/>
    </row>
  </sheetData>
  <mergeCells count="1">
    <mergeCell ref="A14:D14"/>
  </mergeCells>
  <phoneticPr fontId="4" type="noConversion"/>
  <pageMargins left="0.7" right="0.7" top="0.75" bottom="0.75" header="0.3" footer="0.3"/>
  <pageSetup orientation="portrait" r:id="rId1"/>
  <headerFooter>
    <oddFooter>&amp;C_x000D_&amp;1#&amp;"Arial"&amp;8&amp;K2E404D Sensitivity Label: General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DCD3DE-BB1F-47DE-81B2-57653B885F34}">
  <dimension ref="A1:B32"/>
  <sheetViews>
    <sheetView topLeftCell="A22" workbookViewId="0">
      <selection activeCell="B21" sqref="B21"/>
    </sheetView>
  </sheetViews>
  <sheetFormatPr defaultRowHeight="14.5" x14ac:dyDescent="0.35"/>
  <cols>
    <col min="1" max="1" width="18.08984375" style="34" bestFit="1" customWidth="1"/>
    <col min="2" max="2" width="12.81640625" style="30" bestFit="1" customWidth="1"/>
  </cols>
  <sheetData>
    <row r="1" spans="1:2" x14ac:dyDescent="0.35">
      <c r="A1" s="33" t="s">
        <v>202</v>
      </c>
      <c r="B1" s="32" t="s">
        <v>122</v>
      </c>
    </row>
    <row r="2" spans="1:2" x14ac:dyDescent="0.35">
      <c r="A2" s="33">
        <v>1</v>
      </c>
      <c r="B2" s="32">
        <v>0</v>
      </c>
    </row>
    <row r="3" spans="1:2" x14ac:dyDescent="0.35">
      <c r="A3" s="33">
        <v>2</v>
      </c>
      <c r="B3" s="32">
        <v>80000</v>
      </c>
    </row>
    <row r="4" spans="1:2" x14ac:dyDescent="0.35">
      <c r="A4" s="33">
        <v>3</v>
      </c>
      <c r="B4" s="32">
        <v>71000</v>
      </c>
    </row>
    <row r="5" spans="1:2" x14ac:dyDescent="0.35">
      <c r="A5" s="33">
        <v>4</v>
      </c>
      <c r="B5" s="32">
        <v>0</v>
      </c>
    </row>
    <row r="6" spans="1:2" x14ac:dyDescent="0.35">
      <c r="A6" s="33">
        <v>5</v>
      </c>
      <c r="B6" s="32">
        <v>85000</v>
      </c>
    </row>
    <row r="7" spans="1:2" x14ac:dyDescent="0.35">
      <c r="A7" s="33">
        <v>6</v>
      </c>
      <c r="B7" s="32">
        <v>46000</v>
      </c>
    </row>
    <row r="8" spans="1:2" x14ac:dyDescent="0.35">
      <c r="A8" s="33">
        <v>7</v>
      </c>
      <c r="B8" s="32">
        <v>46000</v>
      </c>
    </row>
    <row r="9" spans="1:2" x14ac:dyDescent="0.35">
      <c r="A9" s="33">
        <v>8</v>
      </c>
      <c r="B9" s="32"/>
    </row>
    <row r="10" spans="1:2" x14ac:dyDescent="0.35">
      <c r="A10" s="33">
        <v>9</v>
      </c>
      <c r="B10" s="32"/>
    </row>
    <row r="11" spans="1:2" x14ac:dyDescent="0.35">
      <c r="A11" s="33">
        <v>10</v>
      </c>
      <c r="B11" s="32"/>
    </row>
    <row r="12" spans="1:2" x14ac:dyDescent="0.35">
      <c r="A12" s="33">
        <v>11</v>
      </c>
      <c r="B12" s="32"/>
    </row>
    <row r="13" spans="1:2" x14ac:dyDescent="0.35">
      <c r="A13" s="33">
        <v>12</v>
      </c>
      <c r="B13" s="32"/>
    </row>
    <row r="14" spans="1:2" x14ac:dyDescent="0.35">
      <c r="A14" s="33">
        <v>13</v>
      </c>
      <c r="B14" s="32">
        <v>221000</v>
      </c>
    </row>
    <row r="15" spans="1:2" x14ac:dyDescent="0.35">
      <c r="A15" s="33">
        <v>14</v>
      </c>
      <c r="B15" s="32"/>
    </row>
    <row r="16" spans="1:2" x14ac:dyDescent="0.35">
      <c r="A16" s="33">
        <v>15</v>
      </c>
      <c r="B16" s="32"/>
    </row>
    <row r="17" spans="1:2" x14ac:dyDescent="0.35">
      <c r="A17" s="33">
        <v>16</v>
      </c>
      <c r="B17" s="32"/>
    </row>
    <row r="18" spans="1:2" x14ac:dyDescent="0.35">
      <c r="A18" s="33">
        <v>17</v>
      </c>
      <c r="B18" s="32"/>
    </row>
    <row r="19" spans="1:2" x14ac:dyDescent="0.35">
      <c r="A19" s="33">
        <v>18</v>
      </c>
      <c r="B19" s="32"/>
    </row>
    <row r="20" spans="1:2" x14ac:dyDescent="0.35">
      <c r="A20" s="33">
        <v>19</v>
      </c>
      <c r="B20" s="32">
        <v>75000</v>
      </c>
    </row>
    <row r="21" spans="1:2" x14ac:dyDescent="0.35">
      <c r="A21" s="33">
        <v>20</v>
      </c>
      <c r="B21" s="32"/>
    </row>
    <row r="22" spans="1:2" x14ac:dyDescent="0.35">
      <c r="A22" s="33">
        <v>21</v>
      </c>
      <c r="B22" s="32"/>
    </row>
    <row r="23" spans="1:2" x14ac:dyDescent="0.35">
      <c r="A23" s="33">
        <v>22</v>
      </c>
      <c r="B23" s="32"/>
    </row>
    <row r="24" spans="1:2" x14ac:dyDescent="0.35">
      <c r="A24" s="33">
        <v>23</v>
      </c>
      <c r="B24" s="32"/>
    </row>
    <row r="25" spans="1:2" x14ac:dyDescent="0.35">
      <c r="A25" s="33">
        <v>24</v>
      </c>
      <c r="B25" s="32"/>
    </row>
    <row r="26" spans="1:2" x14ac:dyDescent="0.35">
      <c r="A26" s="33">
        <v>25</v>
      </c>
      <c r="B26" s="32"/>
    </row>
    <row r="27" spans="1:2" x14ac:dyDescent="0.35">
      <c r="A27" s="33">
        <v>26</v>
      </c>
      <c r="B27" s="32"/>
    </row>
    <row r="28" spans="1:2" x14ac:dyDescent="0.35">
      <c r="A28" s="33">
        <v>27</v>
      </c>
      <c r="B28" s="32"/>
    </row>
    <row r="29" spans="1:2" x14ac:dyDescent="0.35">
      <c r="A29" s="33">
        <v>28</v>
      </c>
      <c r="B29" s="32"/>
    </row>
    <row r="30" spans="1:2" x14ac:dyDescent="0.35">
      <c r="A30" s="33">
        <v>29</v>
      </c>
      <c r="B30" s="32"/>
    </row>
    <row r="31" spans="1:2" x14ac:dyDescent="0.35">
      <c r="A31" s="33">
        <v>30</v>
      </c>
      <c r="B31" s="32"/>
    </row>
    <row r="32" spans="1:2" x14ac:dyDescent="0.35">
      <c r="A32" s="33" t="s">
        <v>57</v>
      </c>
      <c r="B32" s="32">
        <f>SUM(B2:B31)</f>
        <v>624000</v>
      </c>
    </row>
  </sheetData>
  <pageMargins left="0.7" right="0.7" top="0.75" bottom="0.75" header="0.3" footer="0.3"/>
  <headerFooter>
    <oddFooter>&amp;C_x000D_&amp;1#&amp;"Arial"&amp;8&amp;K2E404D Sensitivity Label: General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D20AAB-3B22-4496-B894-111E8C57F4D0}">
  <dimension ref="A1:D32"/>
  <sheetViews>
    <sheetView topLeftCell="A19" workbookViewId="0">
      <selection activeCell="C30" sqref="C30"/>
    </sheetView>
  </sheetViews>
  <sheetFormatPr defaultRowHeight="14.5" x14ac:dyDescent="0.35"/>
  <cols>
    <col min="1" max="1" width="16.1796875" style="34" bestFit="1" customWidth="1"/>
    <col min="2" max="2" width="12.54296875" style="30" bestFit="1" customWidth="1"/>
    <col min="3" max="3" width="11.6328125" bestFit="1" customWidth="1"/>
    <col min="4" max="4" width="8.1796875" bestFit="1" customWidth="1"/>
  </cols>
  <sheetData>
    <row r="1" spans="1:4" x14ac:dyDescent="0.35">
      <c r="A1" s="46" t="s">
        <v>179</v>
      </c>
      <c r="B1" s="47" t="s">
        <v>122</v>
      </c>
      <c r="C1" s="48" t="s">
        <v>77</v>
      </c>
    </row>
    <row r="2" spans="1:4" x14ac:dyDescent="0.35">
      <c r="A2" s="33">
        <v>1</v>
      </c>
      <c r="B2" s="32">
        <v>0</v>
      </c>
      <c r="C2" s="3" t="s">
        <v>201</v>
      </c>
    </row>
    <row r="3" spans="1:4" x14ac:dyDescent="0.35">
      <c r="A3" s="33">
        <v>2</v>
      </c>
      <c r="B3" s="32">
        <v>200000</v>
      </c>
      <c r="C3" s="3" t="s">
        <v>188</v>
      </c>
    </row>
    <row r="4" spans="1:4" x14ac:dyDescent="0.35">
      <c r="A4" s="33">
        <v>3</v>
      </c>
      <c r="B4" s="32">
        <v>200000</v>
      </c>
      <c r="C4" s="3" t="s">
        <v>180</v>
      </c>
      <c r="D4" s="49"/>
    </row>
    <row r="5" spans="1:4" x14ac:dyDescent="0.35">
      <c r="A5" s="33">
        <v>4</v>
      </c>
      <c r="B5" s="32">
        <v>0</v>
      </c>
      <c r="C5" s="3" t="s">
        <v>192</v>
      </c>
    </row>
    <row r="6" spans="1:4" x14ac:dyDescent="0.35">
      <c r="A6" s="33">
        <v>5</v>
      </c>
      <c r="B6" s="32">
        <v>200000</v>
      </c>
      <c r="C6" s="3" t="s">
        <v>176</v>
      </c>
    </row>
    <row r="7" spans="1:4" x14ac:dyDescent="0.35">
      <c r="A7" s="33">
        <v>6</v>
      </c>
      <c r="B7" s="32">
        <v>200000</v>
      </c>
      <c r="C7" s="3" t="s">
        <v>177</v>
      </c>
    </row>
    <row r="8" spans="1:4" x14ac:dyDescent="0.35">
      <c r="A8" s="33">
        <v>7</v>
      </c>
      <c r="B8" s="32">
        <v>200000</v>
      </c>
      <c r="C8" s="3" t="s">
        <v>177</v>
      </c>
    </row>
    <row r="9" spans="1:4" x14ac:dyDescent="0.35">
      <c r="A9" s="33">
        <v>8</v>
      </c>
      <c r="B9" s="32">
        <v>200000</v>
      </c>
      <c r="C9" s="3" t="s">
        <v>180</v>
      </c>
    </row>
    <row r="10" spans="1:4" x14ac:dyDescent="0.35">
      <c r="A10" s="33">
        <v>9</v>
      </c>
      <c r="B10" s="32"/>
      <c r="C10" s="3" t="s">
        <v>189</v>
      </c>
    </row>
    <row r="11" spans="1:4" x14ac:dyDescent="0.35">
      <c r="A11" s="33">
        <v>10</v>
      </c>
      <c r="B11" s="32"/>
      <c r="C11" s="3" t="s">
        <v>190</v>
      </c>
    </row>
    <row r="12" spans="1:4" x14ac:dyDescent="0.35">
      <c r="A12" s="33">
        <v>11</v>
      </c>
      <c r="B12" s="32">
        <v>200000</v>
      </c>
      <c r="C12" s="3" t="s">
        <v>191</v>
      </c>
    </row>
    <row r="13" spans="1:4" x14ac:dyDescent="0.35">
      <c r="A13" s="33">
        <v>12</v>
      </c>
      <c r="B13" s="32"/>
      <c r="C13" s="3" t="s">
        <v>193</v>
      </c>
    </row>
    <row r="14" spans="1:4" x14ac:dyDescent="0.35">
      <c r="A14" s="33">
        <v>13</v>
      </c>
      <c r="B14" s="32">
        <v>200000</v>
      </c>
      <c r="C14" s="3" t="s">
        <v>191</v>
      </c>
    </row>
    <row r="15" spans="1:4" x14ac:dyDescent="0.35">
      <c r="A15" s="33">
        <v>14</v>
      </c>
      <c r="B15" s="32"/>
      <c r="C15" s="3" t="s">
        <v>178</v>
      </c>
      <c r="D15" s="49"/>
    </row>
    <row r="16" spans="1:4" x14ac:dyDescent="0.35">
      <c r="A16" s="33">
        <v>15</v>
      </c>
      <c r="B16" s="32"/>
      <c r="C16" s="3" t="s">
        <v>178</v>
      </c>
    </row>
    <row r="17" spans="1:3" x14ac:dyDescent="0.35">
      <c r="A17" s="33">
        <v>16</v>
      </c>
      <c r="B17" s="32">
        <v>200000</v>
      </c>
      <c r="C17" s="3" t="s">
        <v>191</v>
      </c>
    </row>
    <row r="18" spans="1:3" x14ac:dyDescent="0.35">
      <c r="A18" s="33">
        <v>17</v>
      </c>
      <c r="B18" s="32"/>
      <c r="C18" s="3" t="s">
        <v>189</v>
      </c>
    </row>
    <row r="19" spans="1:3" x14ac:dyDescent="0.35">
      <c r="A19" s="33">
        <v>18</v>
      </c>
      <c r="B19" s="32"/>
      <c r="C19" s="3" t="s">
        <v>201</v>
      </c>
    </row>
    <row r="20" spans="1:3" x14ac:dyDescent="0.35">
      <c r="A20" s="50">
        <v>19</v>
      </c>
      <c r="B20" s="51">
        <v>200000</v>
      </c>
      <c r="C20" s="2" t="s">
        <v>176</v>
      </c>
    </row>
    <row r="21" spans="1:3" x14ac:dyDescent="0.35">
      <c r="A21" s="33">
        <v>20</v>
      </c>
      <c r="B21" s="32">
        <v>200000</v>
      </c>
      <c r="C21" s="3" t="s">
        <v>177</v>
      </c>
    </row>
    <row r="22" spans="1:3" x14ac:dyDescent="0.35">
      <c r="A22" s="33">
        <v>21</v>
      </c>
      <c r="B22" s="32"/>
      <c r="C22" s="3" t="s">
        <v>192</v>
      </c>
    </row>
    <row r="23" spans="1:3" x14ac:dyDescent="0.35">
      <c r="A23" s="33">
        <v>22</v>
      </c>
      <c r="B23" s="32">
        <v>200000</v>
      </c>
      <c r="C23" s="3" t="s">
        <v>200</v>
      </c>
    </row>
    <row r="24" spans="1:3" x14ac:dyDescent="0.35">
      <c r="A24" s="33">
        <v>23</v>
      </c>
      <c r="B24" s="32"/>
      <c r="C24" s="3" t="s">
        <v>189</v>
      </c>
    </row>
    <row r="25" spans="1:3" x14ac:dyDescent="0.35">
      <c r="A25" s="33">
        <v>24</v>
      </c>
      <c r="B25" s="32"/>
      <c r="C25" s="3" t="s">
        <v>190</v>
      </c>
    </row>
    <row r="26" spans="1:3" x14ac:dyDescent="0.35">
      <c r="A26" s="33">
        <v>25</v>
      </c>
      <c r="B26" s="32"/>
      <c r="C26" s="3" t="s">
        <v>192</v>
      </c>
    </row>
    <row r="27" spans="1:3" x14ac:dyDescent="0.35">
      <c r="A27" s="33">
        <v>26</v>
      </c>
      <c r="B27" s="32">
        <v>200000</v>
      </c>
      <c r="C27" s="3" t="s">
        <v>176</v>
      </c>
    </row>
    <row r="28" spans="1:3" x14ac:dyDescent="0.35">
      <c r="A28" s="33">
        <v>27</v>
      </c>
      <c r="B28" s="32"/>
      <c r="C28" s="3" t="s">
        <v>192</v>
      </c>
    </row>
    <row r="29" spans="1:3" x14ac:dyDescent="0.35">
      <c r="A29" s="33">
        <v>28</v>
      </c>
      <c r="B29" s="32"/>
      <c r="C29" s="3" t="s">
        <v>201</v>
      </c>
    </row>
    <row r="30" spans="1:3" x14ac:dyDescent="0.35">
      <c r="A30" s="33">
        <v>29</v>
      </c>
      <c r="B30" s="32">
        <v>200000</v>
      </c>
      <c r="C30" s="3" t="s">
        <v>176</v>
      </c>
    </row>
    <row r="31" spans="1:3" x14ac:dyDescent="0.35">
      <c r="A31" s="33">
        <v>30</v>
      </c>
      <c r="B31" s="32">
        <v>200000</v>
      </c>
      <c r="C31" s="3" t="s">
        <v>180</v>
      </c>
    </row>
    <row r="32" spans="1:3" x14ac:dyDescent="0.35">
      <c r="A32" s="33" t="s">
        <v>57</v>
      </c>
      <c r="B32" s="32">
        <f>SUM(B2:B31)</f>
        <v>3000000</v>
      </c>
    </row>
  </sheetData>
  <pageMargins left="0.7" right="0.7" top="0.75" bottom="0.75" header="0.3" footer="0.3"/>
  <headerFooter>
    <oddFooter>&amp;C_x000D_&amp;1#&amp;"Arial"&amp;8&amp;K2E404D Sensitivity Label: General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BD5805-4BC0-4320-9D38-72E08DE614DB}">
  <dimension ref="A1:F15"/>
  <sheetViews>
    <sheetView workbookViewId="0">
      <selection activeCell="C15" sqref="C15"/>
    </sheetView>
  </sheetViews>
  <sheetFormatPr defaultRowHeight="14.5" x14ac:dyDescent="0.35"/>
  <cols>
    <col min="1" max="1" width="14.453125" bestFit="1" customWidth="1"/>
    <col min="3" max="3" width="15.1796875" style="28" bestFit="1" customWidth="1"/>
    <col min="4" max="4" width="13.54296875" bestFit="1" customWidth="1"/>
    <col min="6" max="6" width="14.54296875" bestFit="1" customWidth="1"/>
  </cols>
  <sheetData>
    <row r="1" spans="1:6" x14ac:dyDescent="0.35">
      <c r="A1" t="s">
        <v>109</v>
      </c>
      <c r="B1">
        <v>4</v>
      </c>
      <c r="C1" s="30">
        <v>12410</v>
      </c>
      <c r="D1" s="31">
        <f>B1*C1</f>
        <v>49640</v>
      </c>
      <c r="E1" t="s">
        <v>182</v>
      </c>
      <c r="F1" s="31">
        <v>49640</v>
      </c>
    </row>
    <row r="2" spans="1:6" x14ac:dyDescent="0.35">
      <c r="A2" t="s">
        <v>110</v>
      </c>
      <c r="B2">
        <v>4</v>
      </c>
      <c r="C2" s="30">
        <v>32000</v>
      </c>
      <c r="D2" s="31">
        <f t="shared" ref="D2:D12" si="0">B2*C2</f>
        <v>128000</v>
      </c>
      <c r="E2" t="s">
        <v>182</v>
      </c>
      <c r="F2" s="31">
        <v>128000</v>
      </c>
    </row>
    <row r="3" spans="1:6" x14ac:dyDescent="0.35">
      <c r="A3" t="s">
        <v>111</v>
      </c>
      <c r="B3">
        <v>4</v>
      </c>
      <c r="C3" s="30">
        <v>7090</v>
      </c>
      <c r="D3" s="31">
        <f t="shared" si="0"/>
        <v>28360</v>
      </c>
      <c r="E3" t="s">
        <v>182</v>
      </c>
      <c r="F3" s="31">
        <v>19000</v>
      </c>
    </row>
    <row r="4" spans="1:6" x14ac:dyDescent="0.35">
      <c r="A4" t="s">
        <v>112</v>
      </c>
      <c r="B4">
        <v>4</v>
      </c>
      <c r="C4" s="30">
        <v>7210</v>
      </c>
      <c r="D4" s="31">
        <f t="shared" si="0"/>
        <v>28840</v>
      </c>
      <c r="E4" t="s">
        <v>182</v>
      </c>
      <c r="F4" s="31">
        <v>23960</v>
      </c>
    </row>
    <row r="5" spans="1:6" x14ac:dyDescent="0.35">
      <c r="A5" t="s">
        <v>113</v>
      </c>
      <c r="B5">
        <v>4</v>
      </c>
      <c r="C5" s="30">
        <v>14340</v>
      </c>
      <c r="D5" s="31">
        <f t="shared" si="0"/>
        <v>57360</v>
      </c>
      <c r="E5" t="s">
        <v>182</v>
      </c>
      <c r="F5" s="31">
        <v>52160</v>
      </c>
    </row>
    <row r="6" spans="1:6" x14ac:dyDescent="0.35">
      <c r="A6" t="s">
        <v>114</v>
      </c>
      <c r="B6">
        <v>8</v>
      </c>
      <c r="C6" s="30">
        <v>3100</v>
      </c>
      <c r="D6" s="31">
        <f t="shared" si="0"/>
        <v>24800</v>
      </c>
      <c r="E6" t="s">
        <v>182</v>
      </c>
      <c r="F6" s="31">
        <v>24800</v>
      </c>
    </row>
    <row r="7" spans="1:6" x14ac:dyDescent="0.35">
      <c r="A7" t="s">
        <v>115</v>
      </c>
      <c r="B7">
        <v>8</v>
      </c>
      <c r="C7" s="30">
        <v>2990</v>
      </c>
      <c r="D7" s="31">
        <f t="shared" si="0"/>
        <v>23920</v>
      </c>
      <c r="E7" t="s">
        <v>182</v>
      </c>
      <c r="F7" s="31">
        <v>23920</v>
      </c>
    </row>
    <row r="8" spans="1:6" x14ac:dyDescent="0.35">
      <c r="A8" t="s">
        <v>116</v>
      </c>
      <c r="B8">
        <v>4</v>
      </c>
      <c r="C8" s="30">
        <v>9580</v>
      </c>
      <c r="D8" s="31">
        <f t="shared" si="0"/>
        <v>38320</v>
      </c>
      <c r="E8" t="s">
        <v>182</v>
      </c>
      <c r="F8" s="31">
        <v>33920</v>
      </c>
    </row>
    <row r="9" spans="1:6" x14ac:dyDescent="0.35">
      <c r="A9" t="s">
        <v>117</v>
      </c>
      <c r="B9">
        <v>4</v>
      </c>
      <c r="C9" s="30">
        <v>7560</v>
      </c>
      <c r="D9" s="31">
        <f t="shared" si="0"/>
        <v>30240</v>
      </c>
      <c r="E9" t="s">
        <v>182</v>
      </c>
      <c r="F9" s="31">
        <v>25700</v>
      </c>
    </row>
    <row r="10" spans="1:6" x14ac:dyDescent="0.35">
      <c r="A10" t="s">
        <v>118</v>
      </c>
      <c r="B10">
        <v>4</v>
      </c>
      <c r="C10" s="30">
        <v>19490</v>
      </c>
      <c r="D10" s="31">
        <f t="shared" si="0"/>
        <v>77960</v>
      </c>
      <c r="E10" t="s">
        <v>182</v>
      </c>
      <c r="F10" s="31">
        <v>33490</v>
      </c>
    </row>
    <row r="11" spans="1:6" x14ac:dyDescent="0.35">
      <c r="A11" t="s">
        <v>119</v>
      </c>
      <c r="B11">
        <v>4</v>
      </c>
      <c r="C11" s="30">
        <v>24360</v>
      </c>
      <c r="D11" s="31">
        <f t="shared" si="0"/>
        <v>97440</v>
      </c>
      <c r="E11" t="s">
        <v>182</v>
      </c>
      <c r="F11" s="31">
        <v>63600</v>
      </c>
    </row>
    <row r="12" spans="1:6" x14ac:dyDescent="0.35">
      <c r="A12" t="s">
        <v>120</v>
      </c>
      <c r="B12">
        <v>4</v>
      </c>
      <c r="C12" s="30">
        <v>12900</v>
      </c>
      <c r="D12" s="31">
        <f t="shared" si="0"/>
        <v>51600</v>
      </c>
      <c r="E12" t="s">
        <v>182</v>
      </c>
      <c r="F12" s="31">
        <v>31600</v>
      </c>
    </row>
    <row r="13" spans="1:6" x14ac:dyDescent="0.35">
      <c r="D13" s="31">
        <f>SUM(D1:D12)</f>
        <v>636480</v>
      </c>
      <c r="F13" s="31">
        <f>SUM(F1:F12)</f>
        <v>509790</v>
      </c>
    </row>
    <row r="15" spans="1:6" x14ac:dyDescent="0.35">
      <c r="A15" t="s">
        <v>57</v>
      </c>
      <c r="B15">
        <v>5</v>
      </c>
      <c r="C15" s="28">
        <v>450000</v>
      </c>
      <c r="D15" s="28">
        <v>85000</v>
      </c>
      <c r="E15" s="28"/>
      <c r="F15" s="28">
        <f>C15+D15</f>
        <v>535000</v>
      </c>
    </row>
  </sheetData>
  <pageMargins left="0.7" right="0.7" top="0.75" bottom="0.75" header="0.3" footer="0.3"/>
  <pageSetup orientation="portrait" r:id="rId1"/>
  <headerFooter>
    <oddFooter>&amp;C_x000D_&amp;1#&amp;"Arial"&amp;8&amp;K2E404D Sensitivity Label: General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AC3B90-577B-4865-9101-E9E65C624E1C}">
  <dimension ref="A1:H81"/>
  <sheetViews>
    <sheetView topLeftCell="A68" zoomScaleNormal="100" workbookViewId="0">
      <selection activeCell="A49" sqref="A49:D63"/>
    </sheetView>
  </sheetViews>
  <sheetFormatPr defaultRowHeight="14.5" x14ac:dyDescent="0.35"/>
  <cols>
    <col min="1" max="1" width="4.81640625" customWidth="1"/>
    <col min="2" max="2" width="15.6328125" bestFit="1" customWidth="1"/>
    <col min="3" max="3" width="11.81640625" bestFit="1" customWidth="1"/>
    <col min="4" max="5" width="16.81640625" bestFit="1" customWidth="1"/>
    <col min="6" max="6" width="19.453125" bestFit="1" customWidth="1"/>
    <col min="7" max="7" width="13" customWidth="1"/>
    <col min="8" max="8" width="17.36328125" customWidth="1"/>
  </cols>
  <sheetData>
    <row r="1" spans="1:8" x14ac:dyDescent="0.35">
      <c r="A1" s="63" t="s">
        <v>81</v>
      </c>
      <c r="B1" s="63"/>
      <c r="C1" s="63"/>
      <c r="D1" s="63"/>
      <c r="E1" s="63"/>
    </row>
    <row r="2" spans="1:8" x14ac:dyDescent="0.35">
      <c r="A2" s="29"/>
      <c r="B2" s="29"/>
      <c r="C2" s="29"/>
      <c r="D2" s="29"/>
      <c r="E2" s="29"/>
    </row>
    <row r="3" spans="1:8" ht="29" customHeight="1" x14ac:dyDescent="0.35">
      <c r="A3" s="37" t="s">
        <v>86</v>
      </c>
      <c r="B3" s="37" t="s">
        <v>6</v>
      </c>
      <c r="C3" s="37" t="s">
        <v>84</v>
      </c>
      <c r="D3" s="37" t="s">
        <v>85</v>
      </c>
      <c r="E3" s="37" t="s">
        <v>82</v>
      </c>
      <c r="F3" s="37" t="s">
        <v>83</v>
      </c>
      <c r="G3" s="38" t="s">
        <v>87</v>
      </c>
      <c r="H3" s="38" t="s">
        <v>88</v>
      </c>
    </row>
    <row r="4" spans="1:8" x14ac:dyDescent="0.35">
      <c r="A4" s="3">
        <v>1</v>
      </c>
      <c r="B4" s="3" t="s">
        <v>123</v>
      </c>
      <c r="C4" s="3">
        <v>5</v>
      </c>
      <c r="D4" s="35">
        <v>42000</v>
      </c>
      <c r="E4" s="36">
        <f t="shared" ref="E4:E42" si="0">D4*C4</f>
        <v>210000</v>
      </c>
      <c r="F4" s="36">
        <v>225000</v>
      </c>
      <c r="G4" s="3" t="s">
        <v>92</v>
      </c>
      <c r="H4" s="36">
        <f t="shared" ref="H4:H25" si="1">F4-E4</f>
        <v>15000</v>
      </c>
    </row>
    <row r="5" spans="1:8" x14ac:dyDescent="0.35">
      <c r="A5" s="3">
        <v>2</v>
      </c>
      <c r="B5" s="3" t="s">
        <v>90</v>
      </c>
      <c r="C5" s="3">
        <v>7</v>
      </c>
      <c r="D5" s="35">
        <v>42000</v>
      </c>
      <c r="E5" s="36">
        <f t="shared" si="0"/>
        <v>294000</v>
      </c>
      <c r="F5" s="36">
        <v>315000</v>
      </c>
      <c r="G5" s="3" t="s">
        <v>92</v>
      </c>
      <c r="H5" s="36">
        <f t="shared" si="1"/>
        <v>21000</v>
      </c>
    </row>
    <row r="6" spans="1:8" x14ac:dyDescent="0.35">
      <c r="A6" s="3">
        <v>3</v>
      </c>
      <c r="B6" s="3" t="s">
        <v>94</v>
      </c>
      <c r="C6" s="3">
        <v>5</v>
      </c>
      <c r="D6" s="35">
        <v>42000</v>
      </c>
      <c r="E6" s="36">
        <f t="shared" si="0"/>
        <v>210000</v>
      </c>
      <c r="F6" s="36">
        <v>225000</v>
      </c>
      <c r="G6" s="3" t="s">
        <v>92</v>
      </c>
      <c r="H6" s="36">
        <f t="shared" si="1"/>
        <v>15000</v>
      </c>
    </row>
    <row r="7" spans="1:8" x14ac:dyDescent="0.35">
      <c r="A7" s="3">
        <v>4</v>
      </c>
      <c r="B7" s="3" t="s">
        <v>93</v>
      </c>
      <c r="C7" s="3">
        <v>4</v>
      </c>
      <c r="D7" s="35">
        <v>42000</v>
      </c>
      <c r="E7" s="36">
        <f t="shared" si="0"/>
        <v>168000</v>
      </c>
      <c r="F7" s="36">
        <v>180000</v>
      </c>
      <c r="G7" s="3" t="s">
        <v>92</v>
      </c>
      <c r="H7" s="36">
        <f t="shared" si="1"/>
        <v>12000</v>
      </c>
    </row>
    <row r="8" spans="1:8" x14ac:dyDescent="0.35">
      <c r="A8" s="3">
        <v>5</v>
      </c>
      <c r="B8" s="3" t="s">
        <v>124</v>
      </c>
      <c r="C8" s="3">
        <v>5</v>
      </c>
      <c r="D8" s="35">
        <v>42000</v>
      </c>
      <c r="E8" s="36">
        <f t="shared" si="0"/>
        <v>210000</v>
      </c>
      <c r="F8" s="36">
        <v>225000</v>
      </c>
      <c r="G8" s="3" t="s">
        <v>92</v>
      </c>
      <c r="H8" s="36">
        <f t="shared" si="1"/>
        <v>15000</v>
      </c>
    </row>
    <row r="9" spans="1:8" x14ac:dyDescent="0.35">
      <c r="A9" s="3">
        <v>6</v>
      </c>
      <c r="B9" s="3" t="s">
        <v>105</v>
      </c>
      <c r="C9" s="3">
        <v>4</v>
      </c>
      <c r="D9" s="35">
        <v>42000</v>
      </c>
      <c r="E9" s="36">
        <f t="shared" si="0"/>
        <v>168000</v>
      </c>
      <c r="F9" s="36">
        <v>180000</v>
      </c>
      <c r="G9" s="3" t="s">
        <v>92</v>
      </c>
      <c r="H9" s="36">
        <f t="shared" si="1"/>
        <v>12000</v>
      </c>
    </row>
    <row r="10" spans="1:8" x14ac:dyDescent="0.35">
      <c r="A10" s="3">
        <v>7</v>
      </c>
      <c r="B10" s="3" t="s">
        <v>89</v>
      </c>
      <c r="C10" s="3">
        <v>5</v>
      </c>
      <c r="D10" s="35">
        <v>42000</v>
      </c>
      <c r="E10" s="36">
        <f t="shared" si="0"/>
        <v>210000</v>
      </c>
      <c r="F10" s="36">
        <v>250000</v>
      </c>
      <c r="G10" s="3" t="s">
        <v>92</v>
      </c>
      <c r="H10" s="36">
        <f t="shared" si="1"/>
        <v>40000</v>
      </c>
    </row>
    <row r="11" spans="1:8" x14ac:dyDescent="0.35">
      <c r="A11" s="3">
        <v>8</v>
      </c>
      <c r="B11" s="3" t="s">
        <v>101</v>
      </c>
      <c r="C11" s="3">
        <v>5</v>
      </c>
      <c r="D11" s="35">
        <v>42000</v>
      </c>
      <c r="E11" s="36">
        <f t="shared" si="0"/>
        <v>210000</v>
      </c>
      <c r="F11" s="36">
        <v>225000</v>
      </c>
      <c r="G11" s="3" t="s">
        <v>92</v>
      </c>
      <c r="H11" s="36">
        <f t="shared" si="1"/>
        <v>15000</v>
      </c>
    </row>
    <row r="12" spans="1:8" x14ac:dyDescent="0.35">
      <c r="A12" s="3">
        <v>9</v>
      </c>
      <c r="B12" s="3" t="s">
        <v>125</v>
      </c>
      <c r="C12" s="3">
        <v>5</v>
      </c>
      <c r="D12" s="35">
        <v>42000</v>
      </c>
      <c r="E12" s="36">
        <f t="shared" si="0"/>
        <v>210000</v>
      </c>
      <c r="F12" s="36">
        <v>225000</v>
      </c>
      <c r="G12" s="3" t="s">
        <v>92</v>
      </c>
      <c r="H12" s="36">
        <f t="shared" si="1"/>
        <v>15000</v>
      </c>
    </row>
    <row r="13" spans="1:8" x14ac:dyDescent="0.35">
      <c r="A13" s="3">
        <v>10</v>
      </c>
      <c r="B13" s="3" t="s">
        <v>96</v>
      </c>
      <c r="C13" s="3">
        <v>5</v>
      </c>
      <c r="D13" s="35">
        <v>42000</v>
      </c>
      <c r="E13" s="36">
        <f t="shared" si="0"/>
        <v>210000</v>
      </c>
      <c r="F13" s="36">
        <v>225000</v>
      </c>
      <c r="G13" s="3" t="s">
        <v>92</v>
      </c>
      <c r="H13" s="36">
        <f t="shared" si="1"/>
        <v>15000</v>
      </c>
    </row>
    <row r="14" spans="1:8" x14ac:dyDescent="0.35">
      <c r="A14" s="3">
        <v>11</v>
      </c>
      <c r="B14" s="3" t="s">
        <v>126</v>
      </c>
      <c r="C14" s="3">
        <v>5</v>
      </c>
      <c r="D14" s="35">
        <v>42000</v>
      </c>
      <c r="E14" s="36">
        <f t="shared" si="0"/>
        <v>210000</v>
      </c>
      <c r="F14" s="36">
        <v>225000</v>
      </c>
      <c r="G14" s="3" t="s">
        <v>92</v>
      </c>
      <c r="H14" s="36">
        <f t="shared" si="1"/>
        <v>15000</v>
      </c>
    </row>
    <row r="15" spans="1:8" x14ac:dyDescent="0.35">
      <c r="A15" s="3">
        <v>12</v>
      </c>
      <c r="B15" s="3" t="s">
        <v>127</v>
      </c>
      <c r="C15" s="3">
        <v>4</v>
      </c>
      <c r="D15" s="35">
        <v>42000</v>
      </c>
      <c r="E15" s="36">
        <f t="shared" si="0"/>
        <v>168000</v>
      </c>
      <c r="F15" s="36">
        <v>180000</v>
      </c>
      <c r="G15" s="3" t="s">
        <v>92</v>
      </c>
      <c r="H15" s="36">
        <f>F15-E15</f>
        <v>12000</v>
      </c>
    </row>
    <row r="16" spans="1:8" x14ac:dyDescent="0.35">
      <c r="A16" s="3">
        <v>13</v>
      </c>
      <c r="B16" s="3" t="s">
        <v>128</v>
      </c>
      <c r="C16" s="3">
        <v>4</v>
      </c>
      <c r="D16" s="35">
        <v>42000</v>
      </c>
      <c r="E16" s="36">
        <f t="shared" si="0"/>
        <v>168000</v>
      </c>
      <c r="F16" s="36">
        <v>180000</v>
      </c>
      <c r="G16" s="3" t="s">
        <v>92</v>
      </c>
      <c r="H16" s="36">
        <f>F16-E16</f>
        <v>12000</v>
      </c>
    </row>
    <row r="17" spans="1:8" x14ac:dyDescent="0.35">
      <c r="A17" s="3">
        <v>14</v>
      </c>
      <c r="B17" s="3" t="s">
        <v>129</v>
      </c>
      <c r="C17" s="3">
        <v>4</v>
      </c>
      <c r="D17" s="35">
        <v>42000</v>
      </c>
      <c r="E17" s="36">
        <f t="shared" si="0"/>
        <v>168000</v>
      </c>
      <c r="F17" s="36">
        <v>180000</v>
      </c>
      <c r="G17" s="3" t="s">
        <v>92</v>
      </c>
      <c r="H17" s="36">
        <f t="shared" si="1"/>
        <v>12000</v>
      </c>
    </row>
    <row r="18" spans="1:8" x14ac:dyDescent="0.35">
      <c r="A18" s="3">
        <v>15</v>
      </c>
      <c r="B18" s="3" t="s">
        <v>130</v>
      </c>
      <c r="C18" s="3">
        <v>3</v>
      </c>
      <c r="D18" s="35">
        <v>42000</v>
      </c>
      <c r="E18" s="36">
        <f t="shared" si="0"/>
        <v>126000</v>
      </c>
      <c r="F18" s="36">
        <v>135000</v>
      </c>
      <c r="G18" s="3" t="s">
        <v>92</v>
      </c>
      <c r="H18" s="36">
        <f t="shared" si="1"/>
        <v>9000</v>
      </c>
    </row>
    <row r="19" spans="1:8" x14ac:dyDescent="0.35">
      <c r="A19" s="3">
        <v>16</v>
      </c>
      <c r="B19" s="3" t="s">
        <v>131</v>
      </c>
      <c r="C19" s="3">
        <v>3</v>
      </c>
      <c r="D19" s="35">
        <v>42000</v>
      </c>
      <c r="E19" s="36">
        <f t="shared" si="0"/>
        <v>126000</v>
      </c>
      <c r="F19" s="36">
        <v>135000</v>
      </c>
      <c r="G19" s="3" t="s">
        <v>92</v>
      </c>
      <c r="H19" s="36">
        <f t="shared" si="1"/>
        <v>9000</v>
      </c>
    </row>
    <row r="20" spans="1:8" x14ac:dyDescent="0.35">
      <c r="A20" s="3">
        <v>17</v>
      </c>
      <c r="B20" s="3" t="s">
        <v>107</v>
      </c>
      <c r="C20" s="3">
        <v>8</v>
      </c>
      <c r="D20" s="35">
        <v>42000</v>
      </c>
      <c r="E20" s="36">
        <f t="shared" si="0"/>
        <v>336000</v>
      </c>
      <c r="F20" s="36">
        <v>360000</v>
      </c>
      <c r="G20" s="3" t="s">
        <v>92</v>
      </c>
      <c r="H20" s="36">
        <f t="shared" si="1"/>
        <v>24000</v>
      </c>
    </row>
    <row r="21" spans="1:8" x14ac:dyDescent="0.35">
      <c r="A21" s="3">
        <v>18</v>
      </c>
      <c r="B21" s="3" t="s">
        <v>132</v>
      </c>
      <c r="C21" s="3">
        <v>4</v>
      </c>
      <c r="D21" s="35">
        <v>42000</v>
      </c>
      <c r="E21" s="36">
        <f t="shared" si="0"/>
        <v>168000</v>
      </c>
      <c r="F21" s="36">
        <v>180000</v>
      </c>
      <c r="G21" s="3" t="s">
        <v>92</v>
      </c>
      <c r="H21" s="36">
        <f t="shared" si="1"/>
        <v>12000</v>
      </c>
    </row>
    <row r="22" spans="1:8" x14ac:dyDescent="0.35">
      <c r="A22" s="3">
        <v>19</v>
      </c>
      <c r="B22" s="3" t="s">
        <v>104</v>
      </c>
      <c r="C22" s="3">
        <v>4</v>
      </c>
      <c r="D22" s="35">
        <v>42000</v>
      </c>
      <c r="E22" s="36">
        <f t="shared" si="0"/>
        <v>168000</v>
      </c>
      <c r="F22" s="36">
        <v>200000</v>
      </c>
      <c r="G22" s="3" t="s">
        <v>92</v>
      </c>
      <c r="H22" s="36">
        <f t="shared" si="1"/>
        <v>32000</v>
      </c>
    </row>
    <row r="23" spans="1:8" x14ac:dyDescent="0.35">
      <c r="A23" s="3">
        <v>20</v>
      </c>
      <c r="B23" s="3" t="s">
        <v>106</v>
      </c>
      <c r="C23" s="3">
        <v>2</v>
      </c>
      <c r="D23" s="35">
        <v>42000</v>
      </c>
      <c r="E23" s="36">
        <f t="shared" si="0"/>
        <v>84000</v>
      </c>
      <c r="F23" s="36">
        <v>90000</v>
      </c>
      <c r="G23" s="3" t="s">
        <v>92</v>
      </c>
      <c r="H23" s="36">
        <f t="shared" si="1"/>
        <v>6000</v>
      </c>
    </row>
    <row r="24" spans="1:8" x14ac:dyDescent="0.35">
      <c r="A24" s="3">
        <v>21</v>
      </c>
      <c r="B24" s="3" t="s">
        <v>95</v>
      </c>
      <c r="C24" s="3">
        <v>2</v>
      </c>
      <c r="D24" s="35">
        <v>42000</v>
      </c>
      <c r="E24" s="36">
        <f t="shared" si="0"/>
        <v>84000</v>
      </c>
      <c r="F24" s="36">
        <v>90000</v>
      </c>
      <c r="G24" s="3" t="s">
        <v>92</v>
      </c>
      <c r="H24" s="36">
        <f t="shared" si="1"/>
        <v>6000</v>
      </c>
    </row>
    <row r="25" spans="1:8" x14ac:dyDescent="0.35">
      <c r="A25" s="3">
        <v>22</v>
      </c>
      <c r="B25" s="3" t="s">
        <v>103</v>
      </c>
      <c r="C25" s="3">
        <v>4</v>
      </c>
      <c r="D25" s="35">
        <v>42000</v>
      </c>
      <c r="E25" s="36">
        <f t="shared" si="0"/>
        <v>168000</v>
      </c>
      <c r="F25" s="36">
        <v>180000</v>
      </c>
      <c r="G25" s="3" t="s">
        <v>92</v>
      </c>
      <c r="H25" s="36">
        <f t="shared" si="1"/>
        <v>12000</v>
      </c>
    </row>
    <row r="26" spans="1:8" x14ac:dyDescent="0.35">
      <c r="A26" s="3">
        <v>23</v>
      </c>
      <c r="B26" s="42" t="s">
        <v>133</v>
      </c>
      <c r="C26" s="3">
        <v>4</v>
      </c>
      <c r="D26" s="35">
        <v>42000</v>
      </c>
      <c r="E26" s="36">
        <f t="shared" si="0"/>
        <v>168000</v>
      </c>
      <c r="F26" s="36">
        <v>180000</v>
      </c>
      <c r="G26" s="3" t="s">
        <v>92</v>
      </c>
      <c r="H26" s="36">
        <f t="shared" ref="H26:H39" si="2">F26-E26</f>
        <v>12000</v>
      </c>
    </row>
    <row r="27" spans="1:8" x14ac:dyDescent="0.35">
      <c r="A27" s="3">
        <v>24</v>
      </c>
      <c r="B27" s="42" t="s">
        <v>134</v>
      </c>
      <c r="C27" s="3">
        <v>3</v>
      </c>
      <c r="D27" s="35">
        <v>42000</v>
      </c>
      <c r="E27" s="36">
        <f t="shared" si="0"/>
        <v>126000</v>
      </c>
      <c r="F27" s="36">
        <v>135000</v>
      </c>
      <c r="G27" s="3" t="s">
        <v>92</v>
      </c>
      <c r="H27" s="36">
        <f t="shared" si="2"/>
        <v>9000</v>
      </c>
    </row>
    <row r="28" spans="1:8" x14ac:dyDescent="0.35">
      <c r="A28" s="3">
        <v>25</v>
      </c>
      <c r="B28" s="42" t="s">
        <v>135</v>
      </c>
      <c r="C28" s="3">
        <v>3</v>
      </c>
      <c r="D28" s="35">
        <v>42000</v>
      </c>
      <c r="E28" s="36">
        <f t="shared" si="0"/>
        <v>126000</v>
      </c>
      <c r="F28" s="36">
        <v>135000</v>
      </c>
      <c r="G28" s="3" t="s">
        <v>92</v>
      </c>
      <c r="H28" s="36">
        <f t="shared" si="2"/>
        <v>9000</v>
      </c>
    </row>
    <row r="29" spans="1:8" x14ac:dyDescent="0.35">
      <c r="A29" s="3">
        <v>26</v>
      </c>
      <c r="B29" s="42" t="s">
        <v>136</v>
      </c>
      <c r="C29" s="3">
        <v>7</v>
      </c>
      <c r="D29" s="35">
        <v>42000</v>
      </c>
      <c r="E29" s="36">
        <f t="shared" si="0"/>
        <v>294000</v>
      </c>
      <c r="F29" s="36">
        <v>315000</v>
      </c>
      <c r="G29" s="3" t="s">
        <v>92</v>
      </c>
      <c r="H29" s="36">
        <f t="shared" si="2"/>
        <v>21000</v>
      </c>
    </row>
    <row r="30" spans="1:8" x14ac:dyDescent="0.35">
      <c r="A30" s="3">
        <v>27</v>
      </c>
      <c r="B30" s="42" t="s">
        <v>137</v>
      </c>
      <c r="C30" s="3">
        <v>4</v>
      </c>
      <c r="D30" s="35">
        <v>42000</v>
      </c>
      <c r="E30" s="36">
        <f t="shared" si="0"/>
        <v>168000</v>
      </c>
      <c r="F30" s="36">
        <v>180000</v>
      </c>
      <c r="G30" s="3" t="s">
        <v>92</v>
      </c>
      <c r="H30" s="36">
        <f t="shared" si="2"/>
        <v>12000</v>
      </c>
    </row>
    <row r="31" spans="1:8" x14ac:dyDescent="0.35">
      <c r="A31" s="3">
        <v>28</v>
      </c>
      <c r="B31" s="42" t="s">
        <v>138</v>
      </c>
      <c r="C31" s="3">
        <v>1</v>
      </c>
      <c r="D31" s="35">
        <v>42000</v>
      </c>
      <c r="E31" s="36">
        <f t="shared" si="0"/>
        <v>42000</v>
      </c>
      <c r="F31" s="36">
        <v>45000</v>
      </c>
      <c r="G31" s="3" t="s">
        <v>92</v>
      </c>
      <c r="H31" s="36">
        <f t="shared" si="2"/>
        <v>3000</v>
      </c>
    </row>
    <row r="32" spans="1:8" x14ac:dyDescent="0.35">
      <c r="A32" s="3">
        <v>29</v>
      </c>
      <c r="B32" s="42" t="s">
        <v>139</v>
      </c>
      <c r="C32" s="3">
        <v>4</v>
      </c>
      <c r="D32" s="35">
        <v>42000</v>
      </c>
      <c r="E32" s="36">
        <f t="shared" si="0"/>
        <v>168000</v>
      </c>
      <c r="F32" s="36">
        <v>180000</v>
      </c>
      <c r="G32" s="3" t="s">
        <v>92</v>
      </c>
      <c r="H32" s="36">
        <f t="shared" si="2"/>
        <v>12000</v>
      </c>
    </row>
    <row r="33" spans="1:8" x14ac:dyDescent="0.35">
      <c r="A33" s="3">
        <v>30</v>
      </c>
      <c r="B33" s="42" t="s">
        <v>140</v>
      </c>
      <c r="C33" s="3">
        <v>5</v>
      </c>
      <c r="D33" s="35">
        <v>42000</v>
      </c>
      <c r="E33" s="36">
        <f t="shared" si="0"/>
        <v>210000</v>
      </c>
      <c r="F33" s="36">
        <v>225000</v>
      </c>
      <c r="G33" s="3" t="s">
        <v>92</v>
      </c>
      <c r="H33" s="36">
        <f t="shared" si="2"/>
        <v>15000</v>
      </c>
    </row>
    <row r="34" spans="1:8" x14ac:dyDescent="0.35">
      <c r="A34" s="3">
        <v>31</v>
      </c>
      <c r="B34" s="42" t="s">
        <v>102</v>
      </c>
      <c r="C34" s="3">
        <v>2</v>
      </c>
      <c r="D34" s="35">
        <v>42000</v>
      </c>
      <c r="E34" s="36">
        <f t="shared" si="0"/>
        <v>84000</v>
      </c>
      <c r="F34" s="36">
        <v>90000</v>
      </c>
      <c r="G34" s="3" t="s">
        <v>92</v>
      </c>
      <c r="H34" s="36">
        <f t="shared" si="2"/>
        <v>6000</v>
      </c>
    </row>
    <row r="35" spans="1:8" x14ac:dyDescent="0.35">
      <c r="A35" s="3">
        <v>32</v>
      </c>
      <c r="B35" s="42" t="s">
        <v>141</v>
      </c>
      <c r="C35" s="3">
        <v>4</v>
      </c>
      <c r="D35" s="35">
        <v>42000</v>
      </c>
      <c r="E35" s="36">
        <f t="shared" si="0"/>
        <v>168000</v>
      </c>
      <c r="F35" s="36">
        <v>180000</v>
      </c>
      <c r="G35" s="3" t="s">
        <v>92</v>
      </c>
      <c r="H35" s="36">
        <f t="shared" si="2"/>
        <v>12000</v>
      </c>
    </row>
    <row r="36" spans="1:8" x14ac:dyDescent="0.35">
      <c r="A36" s="3">
        <v>33</v>
      </c>
      <c r="B36" s="42" t="s">
        <v>142</v>
      </c>
      <c r="C36" s="3">
        <v>5</v>
      </c>
      <c r="D36" s="35">
        <v>42000</v>
      </c>
      <c r="E36" s="36">
        <f t="shared" si="0"/>
        <v>210000</v>
      </c>
      <c r="F36" s="36">
        <v>225000</v>
      </c>
      <c r="G36" s="3" t="s">
        <v>92</v>
      </c>
      <c r="H36" s="36">
        <f t="shared" si="2"/>
        <v>15000</v>
      </c>
    </row>
    <row r="37" spans="1:8" x14ac:dyDescent="0.35">
      <c r="A37" s="3">
        <v>34</v>
      </c>
      <c r="B37" s="42" t="s">
        <v>143</v>
      </c>
      <c r="C37" s="3">
        <v>2</v>
      </c>
      <c r="D37" s="35">
        <v>42000</v>
      </c>
      <c r="E37" s="36">
        <f t="shared" si="0"/>
        <v>84000</v>
      </c>
      <c r="F37" s="36">
        <v>90000</v>
      </c>
      <c r="G37" s="3" t="s">
        <v>92</v>
      </c>
      <c r="H37" s="36">
        <f t="shared" si="2"/>
        <v>6000</v>
      </c>
    </row>
    <row r="38" spans="1:8" x14ac:dyDescent="0.35">
      <c r="A38" s="3">
        <v>35</v>
      </c>
      <c r="B38" s="42" t="s">
        <v>144</v>
      </c>
      <c r="C38" s="3">
        <v>1</v>
      </c>
      <c r="D38" s="35">
        <v>42000</v>
      </c>
      <c r="E38" s="36">
        <f t="shared" si="0"/>
        <v>42000</v>
      </c>
      <c r="F38" s="36">
        <v>45000</v>
      </c>
      <c r="G38" s="3" t="s">
        <v>92</v>
      </c>
      <c r="H38" s="36">
        <f t="shared" si="2"/>
        <v>3000</v>
      </c>
    </row>
    <row r="39" spans="1:8" x14ac:dyDescent="0.35">
      <c r="A39" s="3">
        <v>36</v>
      </c>
      <c r="B39" s="42" t="s">
        <v>145</v>
      </c>
      <c r="C39" s="3">
        <v>3</v>
      </c>
      <c r="D39" s="35">
        <v>42000</v>
      </c>
      <c r="E39" s="36">
        <f t="shared" si="0"/>
        <v>126000</v>
      </c>
      <c r="F39" s="36">
        <v>135000</v>
      </c>
      <c r="G39" s="3" t="s">
        <v>92</v>
      </c>
      <c r="H39" s="36">
        <f t="shared" si="2"/>
        <v>9000</v>
      </c>
    </row>
    <row r="40" spans="1:8" x14ac:dyDescent="0.35">
      <c r="A40" s="3">
        <v>37</v>
      </c>
      <c r="B40" s="42" t="s">
        <v>146</v>
      </c>
      <c r="C40" s="3">
        <v>3</v>
      </c>
      <c r="D40" s="35">
        <v>42000</v>
      </c>
      <c r="E40" s="36">
        <f t="shared" si="0"/>
        <v>126000</v>
      </c>
      <c r="F40" s="36">
        <v>135000</v>
      </c>
      <c r="G40" s="3" t="s">
        <v>92</v>
      </c>
      <c r="H40" s="36">
        <f t="shared" ref="H40:H42" si="3">F40-E40</f>
        <v>9000</v>
      </c>
    </row>
    <row r="41" spans="1:8" x14ac:dyDescent="0.35">
      <c r="A41" s="43">
        <v>38</v>
      </c>
      <c r="B41" s="42" t="s">
        <v>147</v>
      </c>
      <c r="C41" s="3">
        <v>6</v>
      </c>
      <c r="D41" s="35">
        <v>42000</v>
      </c>
      <c r="E41" s="36">
        <f t="shared" si="0"/>
        <v>252000</v>
      </c>
      <c r="F41" s="36">
        <v>270000</v>
      </c>
      <c r="G41" s="3" t="s">
        <v>92</v>
      </c>
      <c r="H41" s="36">
        <f t="shared" si="3"/>
        <v>18000</v>
      </c>
    </row>
    <row r="42" spans="1:8" x14ac:dyDescent="0.35">
      <c r="A42" s="43">
        <v>39</v>
      </c>
      <c r="B42" s="42" t="s">
        <v>148</v>
      </c>
      <c r="C42" s="3">
        <v>5</v>
      </c>
      <c r="D42" s="35">
        <v>42000</v>
      </c>
      <c r="E42" s="36">
        <f t="shared" si="0"/>
        <v>210000</v>
      </c>
      <c r="F42" s="36">
        <v>225000</v>
      </c>
      <c r="G42" s="3" t="s">
        <v>92</v>
      </c>
      <c r="H42" s="36">
        <f t="shared" si="3"/>
        <v>15000</v>
      </c>
    </row>
    <row r="43" spans="1:8" x14ac:dyDescent="0.35">
      <c r="A43" s="43">
        <v>40</v>
      </c>
      <c r="B43" s="42" t="s">
        <v>152</v>
      </c>
      <c r="C43" s="3">
        <v>3</v>
      </c>
      <c r="D43" s="35">
        <v>42000</v>
      </c>
      <c r="E43" s="36">
        <f t="shared" ref="E43" si="4">D43*C43</f>
        <v>126000</v>
      </c>
      <c r="F43" s="36">
        <v>135000</v>
      </c>
      <c r="G43" s="3" t="s">
        <v>92</v>
      </c>
      <c r="H43" s="36">
        <f t="shared" ref="H43" si="5">F43-E43</f>
        <v>9000</v>
      </c>
    </row>
    <row r="44" spans="1:8" x14ac:dyDescent="0.35">
      <c r="A44" s="43">
        <v>41</v>
      </c>
      <c r="B44" s="42" t="s">
        <v>151</v>
      </c>
      <c r="C44" s="3">
        <v>4</v>
      </c>
      <c r="D44" s="35">
        <v>42000</v>
      </c>
      <c r="E44" s="36">
        <f t="shared" ref="E44" si="6">D44*C44</f>
        <v>168000</v>
      </c>
      <c r="F44" s="36">
        <v>200000</v>
      </c>
      <c r="G44" s="3" t="s">
        <v>92</v>
      </c>
      <c r="H44" s="36">
        <f t="shared" ref="H44" si="7">F44-E44</f>
        <v>32000</v>
      </c>
    </row>
    <row r="45" spans="1:8" x14ac:dyDescent="0.35">
      <c r="A45" s="43">
        <v>42</v>
      </c>
      <c r="B45" s="42" t="s">
        <v>154</v>
      </c>
      <c r="C45" s="3">
        <v>4</v>
      </c>
      <c r="D45" s="35">
        <v>42000</v>
      </c>
      <c r="E45" s="36">
        <f t="shared" ref="E45:E47" si="8">D45*C45</f>
        <v>168000</v>
      </c>
      <c r="F45" s="36">
        <v>180000</v>
      </c>
      <c r="G45" s="3" t="s">
        <v>92</v>
      </c>
      <c r="H45" s="36">
        <f t="shared" ref="H45:H47" si="9">F45-E45</f>
        <v>12000</v>
      </c>
    </row>
    <row r="46" spans="1:8" x14ac:dyDescent="0.35">
      <c r="A46" s="43">
        <v>43</v>
      </c>
      <c r="B46" s="42" t="s">
        <v>155</v>
      </c>
      <c r="C46" s="3">
        <v>2</v>
      </c>
      <c r="D46" s="35">
        <v>42000</v>
      </c>
      <c r="E46" s="36">
        <f t="shared" si="8"/>
        <v>84000</v>
      </c>
      <c r="F46" s="36">
        <v>90000</v>
      </c>
      <c r="G46" s="3" t="s">
        <v>92</v>
      </c>
      <c r="H46" s="36">
        <f t="shared" si="9"/>
        <v>6000</v>
      </c>
    </row>
    <row r="47" spans="1:8" x14ac:dyDescent="0.35">
      <c r="A47" s="43">
        <v>44</v>
      </c>
      <c r="B47" s="42" t="s">
        <v>156</v>
      </c>
      <c r="C47" s="3">
        <v>3</v>
      </c>
      <c r="D47" s="35">
        <v>42000</v>
      </c>
      <c r="E47" s="36">
        <f t="shared" si="8"/>
        <v>126000</v>
      </c>
      <c r="F47" s="36">
        <v>135000</v>
      </c>
      <c r="G47" s="3" t="s">
        <v>92</v>
      </c>
      <c r="H47" s="36">
        <f t="shared" si="9"/>
        <v>9000</v>
      </c>
    </row>
    <row r="48" spans="1:8" x14ac:dyDescent="0.35">
      <c r="A48" s="64" t="s">
        <v>97</v>
      </c>
      <c r="B48" s="65"/>
      <c r="C48" s="39">
        <f>SUM(C4:C47)</f>
        <v>175</v>
      </c>
      <c r="D48" s="40"/>
      <c r="E48" s="41">
        <f>SUM(E4:E44)</f>
        <v>6972000</v>
      </c>
      <c r="F48" s="41">
        <f>SUM(F4:F44)</f>
        <v>7535000</v>
      </c>
      <c r="G48" s="39"/>
      <c r="H48" s="41">
        <f>SUM(H4:H44)</f>
        <v>563000</v>
      </c>
    </row>
    <row r="49" spans="1:8" ht="15" customHeight="1" x14ac:dyDescent="0.35">
      <c r="A49" s="3">
        <v>45</v>
      </c>
      <c r="B49" s="3" t="s">
        <v>157</v>
      </c>
      <c r="C49" s="3">
        <v>4</v>
      </c>
      <c r="D49" s="66" t="s">
        <v>153</v>
      </c>
      <c r="H49" s="28"/>
    </row>
    <row r="50" spans="1:8" x14ac:dyDescent="0.35">
      <c r="A50" s="3">
        <v>46</v>
      </c>
      <c r="B50" s="3" t="s">
        <v>98</v>
      </c>
      <c r="C50" s="3">
        <v>5</v>
      </c>
      <c r="D50" s="67"/>
    </row>
    <row r="51" spans="1:8" x14ac:dyDescent="0.35">
      <c r="A51" s="3">
        <v>47</v>
      </c>
      <c r="B51" s="3" t="s">
        <v>158</v>
      </c>
      <c r="C51" s="3">
        <v>5</v>
      </c>
      <c r="D51" s="67"/>
    </row>
    <row r="52" spans="1:8" x14ac:dyDescent="0.35">
      <c r="A52" s="3">
        <v>48</v>
      </c>
      <c r="B52" s="3" t="s">
        <v>159</v>
      </c>
      <c r="C52" s="3">
        <v>4</v>
      </c>
      <c r="D52" s="67"/>
    </row>
    <row r="53" spans="1:8" x14ac:dyDescent="0.35">
      <c r="A53" s="3">
        <v>49</v>
      </c>
      <c r="B53" s="3" t="s">
        <v>160</v>
      </c>
      <c r="C53" s="3">
        <v>3</v>
      </c>
      <c r="D53" s="67"/>
    </row>
    <row r="54" spans="1:8" x14ac:dyDescent="0.35">
      <c r="A54" s="3">
        <v>50</v>
      </c>
      <c r="B54" s="3" t="s">
        <v>108</v>
      </c>
      <c r="C54" s="3">
        <v>2</v>
      </c>
      <c r="D54" s="67"/>
      <c r="G54" s="28"/>
    </row>
    <row r="55" spans="1:8" x14ac:dyDescent="0.35">
      <c r="A55" s="3">
        <v>51</v>
      </c>
      <c r="B55" s="3" t="s">
        <v>55</v>
      </c>
      <c r="C55" s="3">
        <v>4</v>
      </c>
      <c r="D55" s="67"/>
      <c r="G55" s="28"/>
    </row>
    <row r="56" spans="1:8" x14ac:dyDescent="0.35">
      <c r="A56" s="3">
        <v>52</v>
      </c>
      <c r="B56" s="3" t="s">
        <v>91</v>
      </c>
      <c r="C56" s="3">
        <v>5</v>
      </c>
      <c r="D56" s="67"/>
      <c r="G56" s="28"/>
    </row>
    <row r="57" spans="1:8" x14ac:dyDescent="0.35">
      <c r="A57" s="3">
        <v>53</v>
      </c>
      <c r="B57" s="3" t="s">
        <v>161</v>
      </c>
      <c r="C57" s="3">
        <v>3</v>
      </c>
      <c r="D57" s="67"/>
      <c r="G57" s="28"/>
    </row>
    <row r="58" spans="1:8" x14ac:dyDescent="0.35">
      <c r="A58" s="3">
        <v>54</v>
      </c>
      <c r="B58" s="3" t="s">
        <v>162</v>
      </c>
      <c r="C58" s="3">
        <v>4</v>
      </c>
      <c r="D58" s="67"/>
      <c r="G58" s="28"/>
    </row>
    <row r="59" spans="1:8" x14ac:dyDescent="0.35">
      <c r="A59" s="3">
        <v>55</v>
      </c>
      <c r="B59" s="3" t="s">
        <v>163</v>
      </c>
      <c r="C59" s="3">
        <v>5</v>
      </c>
      <c r="D59" s="67"/>
      <c r="G59" s="28"/>
    </row>
    <row r="60" spans="1:8" x14ac:dyDescent="0.35">
      <c r="A60" s="3">
        <v>56</v>
      </c>
      <c r="B60" s="3" t="s">
        <v>164</v>
      </c>
      <c r="C60" s="3">
        <v>10</v>
      </c>
      <c r="D60" s="67"/>
      <c r="G60" s="28"/>
    </row>
    <row r="61" spans="1:8" x14ac:dyDescent="0.35">
      <c r="A61" s="3">
        <v>57</v>
      </c>
      <c r="B61" s="3" t="s">
        <v>165</v>
      </c>
      <c r="C61" s="3">
        <v>2</v>
      </c>
      <c r="D61" s="67"/>
      <c r="G61" s="28"/>
    </row>
    <row r="62" spans="1:8" x14ac:dyDescent="0.35">
      <c r="A62" s="3">
        <v>58</v>
      </c>
      <c r="B62" s="3" t="s">
        <v>166</v>
      </c>
      <c r="C62" s="3">
        <v>3</v>
      </c>
      <c r="D62" s="67"/>
      <c r="G62" s="28"/>
    </row>
    <row r="63" spans="1:8" x14ac:dyDescent="0.35">
      <c r="B63" t="s">
        <v>97</v>
      </c>
      <c r="C63">
        <f>SUM(C49:C62)+C48</f>
        <v>234</v>
      </c>
      <c r="D63" s="67"/>
    </row>
    <row r="65" spans="1:6" x14ac:dyDescent="0.35">
      <c r="A65" s="63" t="s">
        <v>196</v>
      </c>
      <c r="B65" s="63"/>
      <c r="C65" s="63"/>
      <c r="D65" s="63"/>
      <c r="E65" s="63"/>
    </row>
    <row r="66" spans="1:6" x14ac:dyDescent="0.35">
      <c r="A66">
        <v>1</v>
      </c>
      <c r="B66" t="s">
        <v>167</v>
      </c>
      <c r="D66" s="44">
        <v>70</v>
      </c>
    </row>
    <row r="67" spans="1:6" x14ac:dyDescent="0.35">
      <c r="A67">
        <v>2</v>
      </c>
      <c r="B67" t="s">
        <v>168</v>
      </c>
      <c r="D67" s="44">
        <v>65</v>
      </c>
    </row>
    <row r="68" spans="1:6" x14ac:dyDescent="0.35">
      <c r="A68">
        <v>3</v>
      </c>
      <c r="B68" t="s">
        <v>171</v>
      </c>
      <c r="D68" s="44">
        <v>48</v>
      </c>
    </row>
    <row r="69" spans="1:6" x14ac:dyDescent="0.35">
      <c r="A69">
        <v>4</v>
      </c>
      <c r="B69" t="s">
        <v>169</v>
      </c>
      <c r="D69" s="44">
        <v>44</v>
      </c>
    </row>
    <row r="70" spans="1:6" x14ac:dyDescent="0.35">
      <c r="A70">
        <v>5</v>
      </c>
      <c r="B70" t="s">
        <v>170</v>
      </c>
      <c r="D70" s="44">
        <v>7</v>
      </c>
    </row>
    <row r="71" spans="1:6" x14ac:dyDescent="0.35">
      <c r="B71" t="s">
        <v>57</v>
      </c>
      <c r="D71" s="44">
        <f>SUM(D66:D70)</f>
        <v>234</v>
      </c>
      <c r="F71" s="28"/>
    </row>
    <row r="72" spans="1:6" x14ac:dyDescent="0.35">
      <c r="D72" s="28"/>
    </row>
    <row r="73" spans="1:6" x14ac:dyDescent="0.35">
      <c r="D73" s="28"/>
    </row>
    <row r="74" spans="1:6" x14ac:dyDescent="0.35">
      <c r="A74" t="s">
        <v>100</v>
      </c>
    </row>
    <row r="75" spans="1:6" x14ac:dyDescent="0.35">
      <c r="A75">
        <v>1</v>
      </c>
      <c r="B75" t="s">
        <v>77</v>
      </c>
      <c r="D75" s="27">
        <v>1000000</v>
      </c>
    </row>
    <row r="76" spans="1:6" x14ac:dyDescent="0.35">
      <c r="A76">
        <v>2</v>
      </c>
      <c r="B76" t="s">
        <v>99</v>
      </c>
      <c r="D76" s="27">
        <v>250000</v>
      </c>
    </row>
    <row r="78" spans="1:6" x14ac:dyDescent="0.35">
      <c r="A78" t="s">
        <v>149</v>
      </c>
    </row>
    <row r="79" spans="1:6" x14ac:dyDescent="0.35">
      <c r="A79">
        <v>1</v>
      </c>
      <c r="B79" t="s">
        <v>121</v>
      </c>
      <c r="D79" s="27">
        <v>73000</v>
      </c>
    </row>
    <row r="80" spans="1:6" x14ac:dyDescent="0.35">
      <c r="A80">
        <v>2</v>
      </c>
      <c r="B80" t="s">
        <v>150</v>
      </c>
      <c r="D80" s="27">
        <v>20000</v>
      </c>
    </row>
    <row r="81" spans="4:4" x14ac:dyDescent="0.35">
      <c r="D81" s="28">
        <f>SUM(D79:D80)</f>
        <v>93000</v>
      </c>
    </row>
  </sheetData>
  <mergeCells count="4">
    <mergeCell ref="A1:E1"/>
    <mergeCell ref="A65:E65"/>
    <mergeCell ref="A48:B48"/>
    <mergeCell ref="D49:D63"/>
  </mergeCells>
  <pageMargins left="0.7" right="0.7" top="0.75" bottom="0.75" header="0.3" footer="0.3"/>
  <pageSetup orientation="landscape" r:id="rId1"/>
  <headerFooter>
    <oddFooter>&amp;C_x000D_&amp;1#&amp;"Arial"&amp;8&amp;K2E404D Sensitivity Label: General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8D6E9B-7281-47E5-B9AC-A4AC746A6108}">
  <dimension ref="A1:E24"/>
  <sheetViews>
    <sheetView workbookViewId="0">
      <selection activeCell="D11" sqref="D11"/>
    </sheetView>
  </sheetViews>
  <sheetFormatPr defaultRowHeight="14.5" x14ac:dyDescent="0.35"/>
  <cols>
    <col min="2" max="2" width="4.1796875" bestFit="1" customWidth="1"/>
    <col min="3" max="3" width="49.54296875" bestFit="1" customWidth="1"/>
    <col min="4" max="4" width="36" customWidth="1"/>
    <col min="5" max="5" width="55" customWidth="1"/>
  </cols>
  <sheetData>
    <row r="1" spans="1:5" ht="57.75" customHeight="1" x14ac:dyDescent="0.35">
      <c r="A1" s="52" t="s">
        <v>64</v>
      </c>
      <c r="B1" s="53"/>
      <c r="C1" s="53"/>
      <c r="D1" s="53"/>
      <c r="E1" s="53"/>
    </row>
    <row r="4" spans="1:5" x14ac:dyDescent="0.35">
      <c r="B4" s="2" t="s">
        <v>1</v>
      </c>
      <c r="C4" s="2" t="s">
        <v>13</v>
      </c>
      <c r="D4" s="2" t="s">
        <v>63</v>
      </c>
      <c r="E4" s="2" t="s">
        <v>62</v>
      </c>
    </row>
    <row r="5" spans="1:5" x14ac:dyDescent="0.35">
      <c r="B5" s="3">
        <v>1</v>
      </c>
      <c r="C5" s="15" t="s">
        <v>52</v>
      </c>
      <c r="D5" s="25">
        <v>19043500</v>
      </c>
      <c r="E5" s="24" t="s">
        <v>54</v>
      </c>
    </row>
    <row r="6" spans="1:5" x14ac:dyDescent="0.35">
      <c r="B6" s="3">
        <v>2</v>
      </c>
      <c r="C6" s="3" t="s">
        <v>53</v>
      </c>
      <c r="D6" s="26">
        <v>13648600</v>
      </c>
      <c r="E6" s="3"/>
    </row>
    <row r="7" spans="1:5" x14ac:dyDescent="0.35">
      <c r="B7" s="3">
        <v>3</v>
      </c>
      <c r="C7" s="3" t="s">
        <v>51</v>
      </c>
      <c r="D7" s="5">
        <f>D5-D6</f>
        <v>5394900</v>
      </c>
      <c r="E7" s="24" t="s">
        <v>54</v>
      </c>
    </row>
    <row r="9" spans="1:5" x14ac:dyDescent="0.35">
      <c r="C9" s="23" t="s">
        <v>65</v>
      </c>
    </row>
    <row r="10" spans="1:5" x14ac:dyDescent="0.35">
      <c r="B10" s="3">
        <v>1</v>
      </c>
      <c r="C10" s="15" t="s">
        <v>59</v>
      </c>
      <c r="D10" s="5">
        <v>5490000</v>
      </c>
      <c r="E10" s="24"/>
    </row>
    <row r="11" spans="1:5" x14ac:dyDescent="0.35">
      <c r="B11" s="3">
        <v>2</v>
      </c>
      <c r="C11" s="3" t="s">
        <v>66</v>
      </c>
      <c r="D11" s="5">
        <v>5538500</v>
      </c>
      <c r="E11" s="3"/>
    </row>
    <row r="12" spans="1:5" x14ac:dyDescent="0.35">
      <c r="B12" s="3">
        <v>3</v>
      </c>
      <c r="C12" s="3" t="s">
        <v>72</v>
      </c>
      <c r="D12" s="5">
        <v>6015000</v>
      </c>
      <c r="E12" s="24" t="s">
        <v>54</v>
      </c>
    </row>
    <row r="13" spans="1:5" x14ac:dyDescent="0.35">
      <c r="B13" s="3">
        <v>4</v>
      </c>
      <c r="C13" s="3" t="s">
        <v>60</v>
      </c>
      <c r="D13" s="5">
        <v>2000000</v>
      </c>
      <c r="E13" s="3"/>
    </row>
    <row r="14" spans="1:5" x14ac:dyDescent="0.35">
      <c r="B14" s="3"/>
      <c r="C14" s="3" t="s">
        <v>57</v>
      </c>
      <c r="D14" s="25">
        <f>SUM(D10:D13)</f>
        <v>19043500</v>
      </c>
      <c r="E14" s="24" t="s">
        <v>54</v>
      </c>
    </row>
    <row r="15" spans="1:5" x14ac:dyDescent="0.35">
      <c r="D15" s="1"/>
    </row>
    <row r="16" spans="1:5" x14ac:dyDescent="0.35">
      <c r="C16" s="23" t="s">
        <v>73</v>
      </c>
    </row>
    <row r="17" spans="2:5" x14ac:dyDescent="0.35">
      <c r="B17" s="3">
        <v>1</v>
      </c>
      <c r="C17" s="15" t="s">
        <v>74</v>
      </c>
      <c r="D17" s="5">
        <v>3450000</v>
      </c>
      <c r="E17" s="24"/>
    </row>
    <row r="18" spans="2:5" x14ac:dyDescent="0.35">
      <c r="B18" s="3">
        <v>2</v>
      </c>
      <c r="C18" s="3" t="s">
        <v>58</v>
      </c>
      <c r="D18" s="5">
        <v>1000000</v>
      </c>
      <c r="E18" s="3"/>
    </row>
    <row r="19" spans="2:5" x14ac:dyDescent="0.35">
      <c r="B19" s="3">
        <v>3</v>
      </c>
      <c r="C19" s="3" t="s">
        <v>56</v>
      </c>
      <c r="D19" s="5">
        <v>2500000</v>
      </c>
      <c r="E19" s="24"/>
    </row>
    <row r="20" spans="2:5" x14ac:dyDescent="0.35">
      <c r="B20" s="3">
        <v>4</v>
      </c>
      <c r="C20" s="3" t="s">
        <v>80</v>
      </c>
      <c r="D20" s="5">
        <v>3500000</v>
      </c>
      <c r="E20" s="24"/>
    </row>
    <row r="21" spans="2:5" x14ac:dyDescent="0.35">
      <c r="B21" s="3">
        <v>5</v>
      </c>
      <c r="C21" s="3" t="s">
        <v>75</v>
      </c>
      <c r="D21" s="5">
        <v>500000</v>
      </c>
      <c r="E21" s="3"/>
    </row>
    <row r="22" spans="2:5" x14ac:dyDescent="0.35">
      <c r="B22" s="3">
        <v>6</v>
      </c>
      <c r="C22" s="3" t="s">
        <v>78</v>
      </c>
      <c r="D22" s="5">
        <v>1164000</v>
      </c>
      <c r="E22" s="3"/>
    </row>
    <row r="23" spans="2:5" x14ac:dyDescent="0.35">
      <c r="B23" s="3">
        <v>5</v>
      </c>
      <c r="C23" s="3" t="s">
        <v>76</v>
      </c>
      <c r="D23" s="5">
        <v>1534600</v>
      </c>
      <c r="E23" s="3" t="s">
        <v>79</v>
      </c>
    </row>
    <row r="24" spans="2:5" x14ac:dyDescent="0.35">
      <c r="B24" s="3"/>
      <c r="C24" s="3" t="s">
        <v>57</v>
      </c>
      <c r="D24" s="26">
        <f>SUM(D17:D23)</f>
        <v>13648600</v>
      </c>
      <c r="E24" s="24"/>
    </row>
  </sheetData>
  <mergeCells count="1">
    <mergeCell ref="A1:E1"/>
  </mergeCells>
  <pageMargins left="0.17" right="0.24" top="0.75" bottom="0.75" header="0.3" footer="0.3"/>
  <pageSetup paperSize="8" orientation="landscape" r:id="rId1"/>
  <headerFooter>
    <oddFooter>&amp;C_x000D_&amp;1#&amp;"Arial"&amp;8&amp;K2E404D Sensitivity Label: General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C14C1F-5932-4A31-A6F1-4F0AC04BE6BE}">
  <dimension ref="A2:N31"/>
  <sheetViews>
    <sheetView workbookViewId="0">
      <selection activeCell="L3" sqref="L3"/>
    </sheetView>
  </sheetViews>
  <sheetFormatPr defaultRowHeight="14.5" x14ac:dyDescent="0.35"/>
  <cols>
    <col min="1" max="1" width="15.54296875" bestFit="1" customWidth="1"/>
    <col min="3" max="3" width="15.54296875" bestFit="1" customWidth="1"/>
    <col min="5" max="5" width="15.54296875" bestFit="1" customWidth="1"/>
    <col min="7" max="7" width="15.54296875" bestFit="1" customWidth="1"/>
    <col min="9" max="9" width="14" bestFit="1" customWidth="1"/>
    <col min="11" max="11" width="15.54296875" bestFit="1" customWidth="1"/>
    <col min="14" max="14" width="16.54296875" bestFit="1" customWidth="1"/>
  </cols>
  <sheetData>
    <row r="2" spans="1:14" x14ac:dyDescent="0.35">
      <c r="A2" t="s">
        <v>67</v>
      </c>
      <c r="E2" t="s">
        <v>68</v>
      </c>
      <c r="I2" t="s">
        <v>69</v>
      </c>
      <c r="M2" t="s">
        <v>70</v>
      </c>
    </row>
    <row r="3" spans="1:14" x14ac:dyDescent="0.35">
      <c r="A3" s="5">
        <v>500000</v>
      </c>
      <c r="C3" s="1">
        <f>SUM(A3:A22)</f>
        <v>5490000</v>
      </c>
      <c r="E3" s="5">
        <v>1691000</v>
      </c>
      <c r="G3" s="1">
        <f>SUM(E3:E6)</f>
        <v>6015000</v>
      </c>
      <c r="I3" s="5">
        <v>156000</v>
      </c>
      <c r="K3" s="1">
        <f>SUM(I3:I31)</f>
        <v>5538500</v>
      </c>
      <c r="M3">
        <v>2000000</v>
      </c>
    </row>
    <row r="4" spans="1:14" x14ac:dyDescent="0.35">
      <c r="A4" s="5">
        <v>300000</v>
      </c>
      <c r="E4" s="5">
        <v>2438100</v>
      </c>
      <c r="I4" s="5">
        <v>178000</v>
      </c>
    </row>
    <row r="5" spans="1:14" x14ac:dyDescent="0.35">
      <c r="A5" s="5">
        <v>250000</v>
      </c>
      <c r="E5" s="5">
        <v>385900</v>
      </c>
      <c r="I5" s="5">
        <v>164000</v>
      </c>
    </row>
    <row r="6" spans="1:14" x14ac:dyDescent="0.35">
      <c r="A6" s="5">
        <v>350000</v>
      </c>
      <c r="E6" s="5">
        <v>1500000</v>
      </c>
      <c r="I6" s="5">
        <v>156000</v>
      </c>
    </row>
    <row r="7" spans="1:14" x14ac:dyDescent="0.35">
      <c r="A7" s="5">
        <v>200000</v>
      </c>
      <c r="I7" s="5">
        <v>329000</v>
      </c>
    </row>
    <row r="8" spans="1:14" x14ac:dyDescent="0.35">
      <c r="A8" s="5">
        <v>200000</v>
      </c>
      <c r="I8" s="5">
        <v>225000</v>
      </c>
    </row>
    <row r="9" spans="1:14" x14ac:dyDescent="0.35">
      <c r="A9" s="5">
        <v>500000</v>
      </c>
      <c r="I9" s="5">
        <v>203000</v>
      </c>
      <c r="N9" s="1">
        <f>SUM(K3+G3+C3+M3)</f>
        <v>19043500</v>
      </c>
    </row>
    <row r="10" spans="1:14" x14ac:dyDescent="0.35">
      <c r="A10" s="5">
        <v>500000</v>
      </c>
      <c r="I10" s="5">
        <v>256000</v>
      </c>
    </row>
    <row r="11" spans="1:14" x14ac:dyDescent="0.35">
      <c r="A11" s="5">
        <v>210000</v>
      </c>
      <c r="I11" s="5">
        <v>275000</v>
      </c>
    </row>
    <row r="12" spans="1:14" x14ac:dyDescent="0.35">
      <c r="A12" s="5">
        <v>200000</v>
      </c>
      <c r="I12" s="5">
        <v>282000</v>
      </c>
    </row>
    <row r="13" spans="1:14" x14ac:dyDescent="0.35">
      <c r="A13" s="5">
        <v>500000</v>
      </c>
      <c r="I13" s="5">
        <v>150000</v>
      </c>
    </row>
    <row r="14" spans="1:14" x14ac:dyDescent="0.35">
      <c r="A14" s="5">
        <v>200000</v>
      </c>
      <c r="I14" s="5">
        <v>228000</v>
      </c>
    </row>
    <row r="15" spans="1:14" x14ac:dyDescent="0.35">
      <c r="A15" s="5">
        <v>500000</v>
      </c>
      <c r="I15" s="5">
        <v>163000</v>
      </c>
    </row>
    <row r="16" spans="1:14" x14ac:dyDescent="0.35">
      <c r="A16" s="22">
        <v>150000</v>
      </c>
      <c r="I16" s="5">
        <v>117000</v>
      </c>
    </row>
    <row r="17" spans="1:9" x14ac:dyDescent="0.35">
      <c r="A17" s="5">
        <v>500000</v>
      </c>
      <c r="I17" s="5">
        <v>115000</v>
      </c>
    </row>
    <row r="18" spans="1:9" x14ac:dyDescent="0.35">
      <c r="A18" s="5">
        <v>76000</v>
      </c>
      <c r="I18" s="5">
        <v>255000</v>
      </c>
    </row>
    <row r="19" spans="1:9" x14ac:dyDescent="0.35">
      <c r="A19" s="5">
        <v>4000</v>
      </c>
      <c r="I19" s="5">
        <v>140000</v>
      </c>
    </row>
    <row r="20" spans="1:9" x14ac:dyDescent="0.35">
      <c r="A20" s="5">
        <v>100000</v>
      </c>
      <c r="I20" s="5">
        <v>114000</v>
      </c>
    </row>
    <row r="21" spans="1:9" x14ac:dyDescent="0.35">
      <c r="A21" s="5">
        <v>50000</v>
      </c>
      <c r="I21" s="5">
        <v>138000</v>
      </c>
    </row>
    <row r="22" spans="1:9" x14ac:dyDescent="0.35">
      <c r="A22" s="22">
        <v>200000</v>
      </c>
      <c r="B22" t="s">
        <v>71</v>
      </c>
      <c r="I22" s="5">
        <v>145000</v>
      </c>
    </row>
    <row r="23" spans="1:9" x14ac:dyDescent="0.35">
      <c r="I23" s="5">
        <v>148000</v>
      </c>
    </row>
    <row r="24" spans="1:9" x14ac:dyDescent="0.35">
      <c r="I24" s="5">
        <v>211000</v>
      </c>
    </row>
    <row r="25" spans="1:9" x14ac:dyDescent="0.35">
      <c r="I25" s="5">
        <v>190500</v>
      </c>
    </row>
    <row r="26" spans="1:9" x14ac:dyDescent="0.35">
      <c r="I26" s="5">
        <v>193000</v>
      </c>
    </row>
    <row r="27" spans="1:9" x14ac:dyDescent="0.35">
      <c r="I27" s="5">
        <v>108000</v>
      </c>
    </row>
    <row r="28" spans="1:9" x14ac:dyDescent="0.35">
      <c r="I28" s="5">
        <v>139000</v>
      </c>
    </row>
    <row r="29" spans="1:9" x14ac:dyDescent="0.35">
      <c r="I29" s="5">
        <v>205000</v>
      </c>
    </row>
    <row r="30" spans="1:9" x14ac:dyDescent="0.35">
      <c r="I30" s="5">
        <v>205000</v>
      </c>
    </row>
    <row r="31" spans="1:9" x14ac:dyDescent="0.35">
      <c r="I31" s="5">
        <v>350000</v>
      </c>
    </row>
  </sheetData>
  <pageMargins left="0.7" right="0.7" top="0.75" bottom="0.75" header="0.3" footer="0.3"/>
  <headerFooter>
    <oddFooter>&amp;C_x000D_&amp;1#&amp;"Arial"&amp;8&amp;K2E404D Sensitivity Label: General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02A8C5-FC6B-46AF-A3DA-E8334814BE18}">
  <dimension ref="A1:G24"/>
  <sheetViews>
    <sheetView workbookViewId="0">
      <selection activeCell="G4" sqref="G4"/>
    </sheetView>
  </sheetViews>
  <sheetFormatPr defaultRowHeight="14.5" x14ac:dyDescent="0.35"/>
  <cols>
    <col min="1" max="1" width="14" bestFit="1" customWidth="1"/>
    <col min="3" max="3" width="15.54296875" bestFit="1" customWidth="1"/>
    <col min="5" max="5" width="15.54296875" bestFit="1" customWidth="1"/>
  </cols>
  <sheetData>
    <row r="1" spans="1:7" x14ac:dyDescent="0.35">
      <c r="A1" t="s">
        <v>77</v>
      </c>
      <c r="E1" t="s">
        <v>61</v>
      </c>
    </row>
    <row r="2" spans="1:7" x14ac:dyDescent="0.35">
      <c r="A2" s="5">
        <v>150000</v>
      </c>
      <c r="C2" s="1">
        <f>SUM(A2:A24)</f>
        <v>3450000</v>
      </c>
      <c r="E2" s="5">
        <v>3500000</v>
      </c>
      <c r="G2">
        <v>13648600</v>
      </c>
    </row>
    <row r="3" spans="1:7" x14ac:dyDescent="0.35">
      <c r="A3" s="5">
        <v>150000</v>
      </c>
      <c r="E3" s="5"/>
      <c r="G3">
        <v>12114000</v>
      </c>
    </row>
    <row r="4" spans="1:7" x14ac:dyDescent="0.35">
      <c r="A4" s="5">
        <v>150000</v>
      </c>
      <c r="E4" s="5"/>
      <c r="G4">
        <f>G2-G3</f>
        <v>1534600</v>
      </c>
    </row>
    <row r="5" spans="1:7" x14ac:dyDescent="0.35">
      <c r="A5" s="5">
        <v>150000</v>
      </c>
      <c r="E5" s="5"/>
    </row>
    <row r="6" spans="1:7" x14ac:dyDescent="0.35">
      <c r="A6" s="5">
        <v>150000</v>
      </c>
      <c r="E6" s="5"/>
    </row>
    <row r="7" spans="1:7" x14ac:dyDescent="0.35">
      <c r="A7" s="5">
        <v>150000</v>
      </c>
      <c r="E7" s="5"/>
    </row>
    <row r="8" spans="1:7" x14ac:dyDescent="0.35">
      <c r="A8" s="5">
        <v>150000</v>
      </c>
      <c r="E8" s="5"/>
    </row>
    <row r="9" spans="1:7" x14ac:dyDescent="0.35">
      <c r="A9" s="5">
        <v>150000</v>
      </c>
      <c r="E9" s="5"/>
    </row>
    <row r="10" spans="1:7" x14ac:dyDescent="0.35">
      <c r="A10" s="5">
        <v>150000</v>
      </c>
      <c r="E10" s="5"/>
    </row>
    <row r="11" spans="1:7" x14ac:dyDescent="0.35">
      <c r="A11" s="5">
        <v>150000</v>
      </c>
    </row>
    <row r="12" spans="1:7" x14ac:dyDescent="0.35">
      <c r="A12" s="5">
        <v>150000</v>
      </c>
    </row>
    <row r="13" spans="1:7" x14ac:dyDescent="0.35">
      <c r="A13" s="5">
        <v>150000</v>
      </c>
    </row>
    <row r="14" spans="1:7" x14ac:dyDescent="0.35">
      <c r="A14" s="5">
        <v>150000</v>
      </c>
    </row>
    <row r="15" spans="1:7" x14ac:dyDescent="0.35">
      <c r="A15" s="5">
        <v>150000</v>
      </c>
    </row>
    <row r="16" spans="1:7" x14ac:dyDescent="0.35">
      <c r="A16" s="5">
        <v>150000</v>
      </c>
    </row>
    <row r="17" spans="1:1" x14ac:dyDescent="0.35">
      <c r="A17" s="5">
        <v>150000</v>
      </c>
    </row>
    <row r="18" spans="1:1" x14ac:dyDescent="0.35">
      <c r="A18" s="5">
        <v>150000</v>
      </c>
    </row>
    <row r="19" spans="1:1" x14ac:dyDescent="0.35">
      <c r="A19" s="5">
        <v>150000</v>
      </c>
    </row>
    <row r="20" spans="1:1" x14ac:dyDescent="0.35">
      <c r="A20" s="5">
        <v>150000</v>
      </c>
    </row>
    <row r="21" spans="1:1" x14ac:dyDescent="0.35">
      <c r="A21" s="5">
        <v>150000</v>
      </c>
    </row>
    <row r="22" spans="1:1" x14ac:dyDescent="0.35">
      <c r="A22" s="5">
        <v>150000</v>
      </c>
    </row>
    <row r="23" spans="1:1" x14ac:dyDescent="0.35">
      <c r="A23" s="5">
        <v>150000</v>
      </c>
    </row>
    <row r="24" spans="1:1" x14ac:dyDescent="0.35">
      <c r="A24" s="5">
        <v>150000</v>
      </c>
    </row>
  </sheetData>
  <pageMargins left="0.7" right="0.7" top="0.75" bottom="0.75" header="0.3" footer="0.3"/>
  <headerFooter>
    <oddFooter>&amp;C_x000D_&amp;1#&amp;"Arial"&amp;8&amp;K2E404D Sensitivity Label: General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B659E1-97E2-4553-AA52-D6AADF74E04C}">
  <dimension ref="A3:E19"/>
  <sheetViews>
    <sheetView zoomScale="85" zoomScaleNormal="85" workbookViewId="0">
      <selection activeCell="B7" sqref="B7"/>
    </sheetView>
  </sheetViews>
  <sheetFormatPr defaultRowHeight="14.5" x14ac:dyDescent="0.35"/>
  <cols>
    <col min="2" max="2" width="47.54296875" bestFit="1" customWidth="1"/>
    <col min="3" max="3" width="43.81640625" customWidth="1"/>
    <col min="4" max="4" width="19.1796875" hidden="1" customWidth="1"/>
    <col min="5" max="5" width="23.1796875" hidden="1" customWidth="1"/>
    <col min="6" max="6" width="16.54296875" bestFit="1" customWidth="1"/>
    <col min="7" max="7" width="23.1796875" bestFit="1" customWidth="1"/>
  </cols>
  <sheetData>
    <row r="3" spans="1:5" x14ac:dyDescent="0.35">
      <c r="A3" s="2" t="s">
        <v>1</v>
      </c>
      <c r="B3" s="2" t="s">
        <v>13</v>
      </c>
      <c r="C3" s="2" t="s">
        <v>14</v>
      </c>
      <c r="D3" s="2" t="s">
        <v>12</v>
      </c>
      <c r="E3" s="2" t="s">
        <v>30</v>
      </c>
    </row>
    <row r="4" spans="1:5" ht="29" x14ac:dyDescent="0.35">
      <c r="A4" s="3">
        <v>1</v>
      </c>
      <c r="B4" s="3" t="s">
        <v>29</v>
      </c>
      <c r="C4" s="5">
        <v>1600000</v>
      </c>
      <c r="D4" s="5" t="s">
        <v>37</v>
      </c>
      <c r="E4" s="16" t="s">
        <v>43</v>
      </c>
    </row>
    <row r="5" spans="1:5" ht="29" x14ac:dyDescent="0.35">
      <c r="A5" s="3">
        <v>2</v>
      </c>
      <c r="B5" s="3" t="s">
        <v>15</v>
      </c>
      <c r="C5" s="5">
        <v>70000</v>
      </c>
      <c r="D5" s="5" t="s">
        <v>31</v>
      </c>
      <c r="E5" s="15" t="s">
        <v>44</v>
      </c>
    </row>
    <row r="6" spans="1:5" ht="29" x14ac:dyDescent="0.35">
      <c r="A6" s="3">
        <v>3</v>
      </c>
      <c r="B6" s="3" t="s">
        <v>16</v>
      </c>
      <c r="C6" s="5">
        <v>100000</v>
      </c>
      <c r="D6" s="5" t="s">
        <v>31</v>
      </c>
      <c r="E6" s="15" t="s">
        <v>44</v>
      </c>
    </row>
    <row r="7" spans="1:5" ht="29" x14ac:dyDescent="0.35">
      <c r="A7" s="3">
        <v>4</v>
      </c>
      <c r="B7" s="3" t="s">
        <v>17</v>
      </c>
      <c r="C7" s="5">
        <v>40000</v>
      </c>
      <c r="D7" s="5" t="s">
        <v>31</v>
      </c>
      <c r="E7" s="15" t="s">
        <v>44</v>
      </c>
    </row>
    <row r="8" spans="1:5" x14ac:dyDescent="0.35">
      <c r="A8" s="3">
        <v>5</v>
      </c>
      <c r="B8" s="3" t="s">
        <v>18</v>
      </c>
      <c r="C8" s="5">
        <v>0</v>
      </c>
      <c r="D8" s="5"/>
      <c r="E8" s="3"/>
    </row>
    <row r="9" spans="1:5" x14ac:dyDescent="0.35">
      <c r="A9" s="3">
        <v>6</v>
      </c>
      <c r="B9" s="3" t="s">
        <v>19</v>
      </c>
      <c r="C9" s="5">
        <v>30000</v>
      </c>
      <c r="D9" s="5"/>
      <c r="E9" s="3"/>
    </row>
    <row r="10" spans="1:5" x14ac:dyDescent="0.35">
      <c r="A10" s="3">
        <v>7</v>
      </c>
      <c r="B10" s="3" t="s">
        <v>20</v>
      </c>
      <c r="C10" s="5">
        <v>250000</v>
      </c>
      <c r="D10" s="5" t="s">
        <v>32</v>
      </c>
      <c r="E10" s="13" t="s">
        <v>34</v>
      </c>
    </row>
    <row r="11" spans="1:5" x14ac:dyDescent="0.35">
      <c r="A11" s="3">
        <v>8</v>
      </c>
      <c r="B11" s="3" t="s">
        <v>21</v>
      </c>
      <c r="C11" s="5">
        <v>100000</v>
      </c>
      <c r="D11" s="5" t="s">
        <v>32</v>
      </c>
      <c r="E11" s="13" t="s">
        <v>34</v>
      </c>
    </row>
    <row r="12" spans="1:5" x14ac:dyDescent="0.35">
      <c r="A12" s="3">
        <v>9</v>
      </c>
      <c r="B12" s="3" t="s">
        <v>22</v>
      </c>
      <c r="C12" s="5">
        <v>300000</v>
      </c>
      <c r="D12" s="5" t="s">
        <v>33</v>
      </c>
      <c r="E12" s="13" t="s">
        <v>34</v>
      </c>
    </row>
    <row r="13" spans="1:5" x14ac:dyDescent="0.35">
      <c r="A13" s="3">
        <v>10</v>
      </c>
      <c r="B13" s="3" t="s">
        <v>23</v>
      </c>
      <c r="C13" s="5">
        <v>0</v>
      </c>
      <c r="D13" s="5"/>
      <c r="E13" s="3" t="s">
        <v>38</v>
      </c>
    </row>
    <row r="14" spans="1:5" x14ac:dyDescent="0.35">
      <c r="A14" s="3">
        <v>11</v>
      </c>
      <c r="B14" s="3" t="s">
        <v>24</v>
      </c>
      <c r="C14" s="5">
        <v>0</v>
      </c>
      <c r="D14" s="5"/>
      <c r="E14" s="3" t="s">
        <v>38</v>
      </c>
    </row>
    <row r="15" spans="1:5" x14ac:dyDescent="0.35">
      <c r="A15" s="3">
        <v>12</v>
      </c>
      <c r="B15" s="3" t="s">
        <v>25</v>
      </c>
      <c r="C15" s="5">
        <v>150000</v>
      </c>
      <c r="D15" s="5" t="s">
        <v>36</v>
      </c>
      <c r="E15" s="13" t="s">
        <v>34</v>
      </c>
    </row>
    <row r="16" spans="1:5" x14ac:dyDescent="0.35">
      <c r="A16" s="3">
        <v>13</v>
      </c>
      <c r="B16" s="3" t="s">
        <v>26</v>
      </c>
      <c r="C16" s="5">
        <v>200000</v>
      </c>
      <c r="D16" s="5" t="s">
        <v>41</v>
      </c>
      <c r="E16" s="13" t="s">
        <v>34</v>
      </c>
    </row>
    <row r="17" spans="1:5" x14ac:dyDescent="0.35">
      <c r="A17" s="3">
        <v>14</v>
      </c>
      <c r="B17" s="3" t="s">
        <v>27</v>
      </c>
      <c r="C17" s="5">
        <v>5000000</v>
      </c>
      <c r="D17" s="5"/>
      <c r="E17" s="3"/>
    </row>
    <row r="18" spans="1:5" x14ac:dyDescent="0.35">
      <c r="A18" s="3">
        <v>15</v>
      </c>
      <c r="B18" s="3" t="s">
        <v>28</v>
      </c>
      <c r="C18" s="5">
        <v>500000</v>
      </c>
      <c r="D18" s="5" t="s">
        <v>35</v>
      </c>
      <c r="E18" s="13" t="s">
        <v>34</v>
      </c>
    </row>
    <row r="19" spans="1:5" x14ac:dyDescent="0.35">
      <c r="A19" s="60" t="s">
        <v>45</v>
      </c>
      <c r="B19" s="62"/>
      <c r="C19" s="19">
        <f>SUM(C8:C18)</f>
        <v>6530000</v>
      </c>
      <c r="D19" s="17"/>
      <c r="E19" s="18"/>
    </row>
  </sheetData>
  <mergeCells count="1">
    <mergeCell ref="A19:B19"/>
  </mergeCells>
  <pageMargins left="0.7" right="0.7" top="0.75" bottom="0.75" header="0.3" footer="0.3"/>
  <pageSetup orientation="portrait" r:id="rId1"/>
  <headerFooter>
    <oddFooter>&amp;C_x000D_&amp;1#&amp;"Arial"&amp;8&amp;K2E404D Sensitivity Label: General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2</vt:i4>
      </vt:variant>
    </vt:vector>
  </HeadingPairs>
  <TitlesOfParts>
    <vt:vector size="13" baseType="lpstr">
      <vt:lpstr>Cover</vt:lpstr>
      <vt:lpstr>Cash-In</vt:lpstr>
      <vt:lpstr>Cash-Out</vt:lpstr>
      <vt:lpstr>InfaqTromol 1446H</vt:lpstr>
      <vt:lpstr>AmplopImam 1446H</vt:lpstr>
      <vt:lpstr>Bingkisan 1446H</vt:lpstr>
      <vt:lpstr>ZFitrah, Sadaqoh, Ied 1446H</vt:lpstr>
      <vt:lpstr>Laporan</vt:lpstr>
      <vt:lpstr>In</vt:lpstr>
      <vt:lpstr>Out</vt:lpstr>
      <vt:lpstr>Ramadhan</vt:lpstr>
      <vt:lpstr>Laporan!Print_Area</vt:lpstr>
      <vt:lpstr>'ZFitrah, Sadaqoh, Ied 1446H'!Print_Area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Sony.Harianto</dc:creator>
  <cp:lastModifiedBy>Sony.Harianto</cp:lastModifiedBy>
  <cp:lastPrinted>2023-04-14T10:22:01Z</cp:lastPrinted>
  <dcterms:created xsi:type="dcterms:W3CDTF">2019-12-23T08:36:28Z</dcterms:created>
  <dcterms:modified xsi:type="dcterms:W3CDTF">2026-01-19T13:47:30Z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637e5cc-ed1f-4ad6-a881-35c0f1c6f3d8_Enabled">
    <vt:lpwstr>true</vt:lpwstr>
  </property>
  <property fmtid="{D5CDD505-2E9C-101B-9397-08002B2CF9AE}" pid="3" name="MSIP_Label_4637e5cc-ed1f-4ad6-a881-35c0f1c6f3d8_SetDate">
    <vt:lpwstr>2026-01-19T13:47:24Z</vt:lpwstr>
  </property>
  <property fmtid="{D5CDD505-2E9C-101B-9397-08002B2CF9AE}" pid="4" name="MSIP_Label_4637e5cc-ed1f-4ad6-a881-35c0f1c6f3d8_Method">
    <vt:lpwstr>Standard</vt:lpwstr>
  </property>
  <property fmtid="{D5CDD505-2E9C-101B-9397-08002B2CF9AE}" pid="5" name="MSIP_Label_4637e5cc-ed1f-4ad6-a881-35c0f1c6f3d8_Name">
    <vt:lpwstr>General</vt:lpwstr>
  </property>
  <property fmtid="{D5CDD505-2E9C-101B-9397-08002B2CF9AE}" pid="6" name="MSIP_Label_4637e5cc-ed1f-4ad6-a881-35c0f1c6f3d8_SiteId">
    <vt:lpwstr>e3cf3c98-a978-465f-8254-9d541eeea73c</vt:lpwstr>
  </property>
  <property fmtid="{D5CDD505-2E9C-101B-9397-08002B2CF9AE}" pid="7" name="MSIP_Label_4637e5cc-ed1f-4ad6-a881-35c0f1c6f3d8_ActionId">
    <vt:lpwstr>5e476e99-02d1-4759-9de9-b1b533cd9ef8</vt:lpwstr>
  </property>
  <property fmtid="{D5CDD505-2E9C-101B-9397-08002B2CF9AE}" pid="8" name="MSIP_Label_4637e5cc-ed1f-4ad6-a881-35c0f1c6f3d8_ContentBits">
    <vt:lpwstr>2</vt:lpwstr>
  </property>
  <property fmtid="{D5CDD505-2E9C-101B-9397-08002B2CF9AE}" pid="9" name="MSIP_Label_4637e5cc-ed1f-4ad6-a881-35c0f1c6f3d8_Tag">
    <vt:lpwstr>10, 3, 0, 1</vt:lpwstr>
  </property>
</Properties>
</file>