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ttlimited-my.sharepoint.com/personal/sony_harianto_global_ntt/Documents/PRIVATE/BCI2/BCI2_17an_2026/"/>
    </mc:Choice>
  </mc:AlternateContent>
  <xr:revisionPtr revIDLastSave="226" documentId="13_ncr:1_{818C6921-3590-4B95-BACE-3328E2241D8F}" xr6:coauthVersionLast="47" xr6:coauthVersionMax="47" xr10:uidLastSave="{31113419-803D-466F-B5A0-F14629F25E98}"/>
  <bookViews>
    <workbookView xWindow="-110" yWindow="-110" windowWidth="19420" windowHeight="10300" activeTab="1" xr2:uid="{5FEAF387-63CA-44A5-B25A-C5E09B113C11}"/>
  </bookViews>
  <sheets>
    <sheet name="Laporan" sheetId="5" r:id="rId1"/>
    <sheet name="Detail" sheetId="14" r:id="rId2"/>
    <sheet name="Bukti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4" i="14" l="1"/>
  <c r="D6" i="5" s="1"/>
  <c r="D14" i="14"/>
  <c r="D5" i="5" s="1"/>
  <c r="F6" i="14"/>
  <c r="F7" i="14" s="1"/>
  <c r="F8" i="14" s="1"/>
  <c r="F9" i="14" s="1"/>
  <c r="F10" i="14" s="1"/>
  <c r="F11" i="14" s="1"/>
  <c r="F12" i="14" s="1"/>
  <c r="F13" i="14" s="1"/>
  <c r="F3" i="14"/>
  <c r="F4" i="14" s="1"/>
  <c r="F5" i="14" s="1"/>
  <c r="D7" i="5" l="1"/>
  <c r="F2" i="14"/>
</calcChain>
</file>

<file path=xl/sharedStrings.xml><?xml version="1.0" encoding="utf-8"?>
<sst xmlns="http://schemas.openxmlformats.org/spreadsheetml/2006/main" count="28" uniqueCount="28">
  <si>
    <t>No.</t>
  </si>
  <si>
    <t>Keterangan</t>
  </si>
  <si>
    <t>Noted</t>
  </si>
  <si>
    <t>Informasi dana</t>
  </si>
  <si>
    <t>Kas Masuk</t>
  </si>
  <si>
    <t>Kas Keluar</t>
  </si>
  <si>
    <t>Posisi Kas</t>
  </si>
  <si>
    <t>No</t>
  </si>
  <si>
    <t>Balance</t>
  </si>
  <si>
    <t>Dana Masuk</t>
  </si>
  <si>
    <t>Dana Keluar</t>
  </si>
  <si>
    <t>Aktifitas</t>
  </si>
  <si>
    <t>Tanggal</t>
  </si>
  <si>
    <t>Dana Operasional dari Paguyuban</t>
  </si>
  <si>
    <t>Biaya Lapangan</t>
  </si>
  <si>
    <t>Sisa Dana</t>
  </si>
  <si>
    <t>Pengembalian Dana ke Paguyuban</t>
  </si>
  <si>
    <t>LAPORAN KEGIATAN
Turnamen Futsal Anak - 17an 2026</t>
  </si>
  <si>
    <t>Sumbangan Dari Donatur</t>
  </si>
  <si>
    <t>Biaya Pembelian Air</t>
  </si>
  <si>
    <t>Juara 1</t>
  </si>
  <si>
    <t>Juara 2</t>
  </si>
  <si>
    <t>Peringkat 3</t>
  </si>
  <si>
    <t>Peringkat 4</t>
  </si>
  <si>
    <t>Peringkat 5</t>
  </si>
  <si>
    <t>Best Player</t>
  </si>
  <si>
    <t>Best Goal Keeper</t>
  </si>
  <si>
    <t>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</si>
</sst>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[$Rp-3809]* #,##0.00_-;\-[$Rp-3809]* #,##0.00_-;_-[$Rp-3809]* &quot;-&quot;??_-;_-@_-"/>
    <numFmt numFmtId="165" formatCode="[$IDR]\ #,##0;\-[$IDR]\ #,##0"/>
  </numFmts>
  <fonts count="4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1"/>
      </left>
      <right style="hair">
        <color rgb="FF000001"/>
      </right>
      <top style="hair">
        <color rgb="FF000001"/>
      </top>
      <bottom style="hair">
        <color rgb="FF0000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0" xfId="0" applyFont="1"/>
    <xf numFmtId="0" fontId="0" fillId="0" borderId="1" xfId="0" quotePrefix="1" applyBorder="1"/>
    <xf numFmtId="41" fontId="0" fillId="0" borderId="0" xfId="1" applyFont="1"/>
    <xf numFmtId="41" fontId="0" fillId="0" borderId="1" xfId="1" applyFont="1" applyBorder="1"/>
    <xf numFmtId="14" fontId="0" fillId="0" borderId="1" xfId="0" applyNumberFormat="1" applyBorder="1"/>
    <xf numFmtId="165" fontId="0" fillId="0" borderId="1" xfId="1" applyNumberFormat="1" applyFont="1" applyBorder="1"/>
    <xf numFmtId="165" fontId="0" fillId="0" borderId="1" xfId="0" applyNumberFormat="1" applyBorder="1"/>
    <xf numFmtId="0" fontId="0" fillId="3" borderId="1" xfId="0" applyFill="1" applyBorder="1"/>
    <xf numFmtId="41" fontId="0" fillId="3" borderId="1" xfId="1" applyFont="1" applyFill="1" applyBorder="1"/>
    <xf numFmtId="165" fontId="0" fillId="0" borderId="0" xfId="0" applyNumberFormat="1"/>
    <xf numFmtId="165" fontId="0" fillId="0" borderId="0" xfId="1" applyNumberFormat="1" applyFont="1"/>
    <xf numFmtId="165" fontId="0" fillId="4" borderId="1" xfId="0" applyNumberFormat="1" applyFill="1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22087</xdr:colOff>
      <xdr:row>12</xdr:row>
      <xdr:rowOff>88349</xdr:rowOff>
    </xdr:from>
    <xdr:to>
      <xdr:col>8</xdr:col>
      <xdr:colOff>248479</xdr:colOff>
      <xdr:row>12</xdr:row>
      <xdr:rowOff>88349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2373FDB-A52D-713D-BD23-E2F3BFF8A954}"/>
            </a:ext>
          </a:extLst>
        </xdr:cNvPr>
        <xdr:cNvCxnSpPr/>
      </xdr:nvCxnSpPr>
      <xdr:spPr>
        <a:xfrm flipH="1">
          <a:off x="6465957" y="2457175"/>
          <a:ext cx="745435" cy="0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120650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AA1F6A0D-6FE7-AC1D-A80D-77241304B1F3}"/>
            </a:ext>
          </a:extLst>
        </xdr:cNvPr>
        <xdr:cNvSpPr>
          <a:spLocks noChangeAspect="1" noChangeArrowheads="1"/>
        </xdr:cNvSpPr>
      </xdr:nvSpPr>
      <xdr:spPr bwMode="auto">
        <a:xfrm>
          <a:off x="247650" y="31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7B41-051E-4552-8BF3-0BC9D3E2A8FC}">
  <sheetPr>
    <pageSetUpPr fitToPage="1"/>
  </sheetPr>
  <dimension ref="A1:E9"/>
  <sheetViews>
    <sheetView workbookViewId="0">
      <selection activeCell="A5" sqref="A5"/>
    </sheetView>
  </sheetViews>
  <sheetFormatPr defaultRowHeight="14.5" x14ac:dyDescent="0.35"/>
  <cols>
    <col min="2" max="2" width="4.1796875" bestFit="1" customWidth="1"/>
    <col min="3" max="3" width="49.54296875" bestFit="1" customWidth="1"/>
    <col min="4" max="4" width="36" customWidth="1"/>
    <col min="5" max="5" width="55" customWidth="1"/>
  </cols>
  <sheetData>
    <row r="1" spans="1:5" ht="57.75" customHeight="1" x14ac:dyDescent="0.35">
      <c r="A1" s="17" t="s">
        <v>17</v>
      </c>
      <c r="B1" s="18"/>
      <c r="C1" s="18"/>
      <c r="D1" s="18"/>
      <c r="E1" s="18"/>
    </row>
    <row r="4" spans="1:5" x14ac:dyDescent="0.35">
      <c r="B4" s="1" t="s">
        <v>0</v>
      </c>
      <c r="C4" s="1" t="s">
        <v>1</v>
      </c>
      <c r="D4" s="1" t="s">
        <v>3</v>
      </c>
      <c r="E4" s="1" t="s">
        <v>2</v>
      </c>
    </row>
    <row r="5" spans="1:5" x14ac:dyDescent="0.35">
      <c r="B5" s="2">
        <v>1</v>
      </c>
      <c r="C5" s="4" t="s">
        <v>4</v>
      </c>
      <c r="D5" s="3">
        <f>Detail!D14</f>
        <v>1150000</v>
      </c>
      <c r="E5" s="6"/>
    </row>
    <row r="6" spans="1:5" x14ac:dyDescent="0.35">
      <c r="B6" s="2">
        <v>2</v>
      </c>
      <c r="C6" s="2" t="s">
        <v>5</v>
      </c>
      <c r="D6" s="3">
        <f>Detail!E14</f>
        <v>1050000</v>
      </c>
      <c r="E6" s="2"/>
    </row>
    <row r="7" spans="1:5" x14ac:dyDescent="0.35">
      <c r="B7" s="2">
        <v>3</v>
      </c>
      <c r="C7" s="2" t="s">
        <v>6</v>
      </c>
      <c r="D7" s="3">
        <f>D5-D6</f>
        <v>100000</v>
      </c>
      <c r="E7" s="6"/>
    </row>
    <row r="9" spans="1:5" x14ac:dyDescent="0.35">
      <c r="C9" s="5"/>
    </row>
  </sheetData>
  <mergeCells count="1">
    <mergeCell ref="A1:E1"/>
  </mergeCells>
  <pageMargins left="0.25" right="0.25" top="0.75" bottom="0.75" header="0.3" footer="0.3"/>
  <pageSetup paperSize="9" scale="92" fitToHeight="0" orientation="landscape" r:id="rId1"/>
  <headerFooter>
    <oddFooter>&amp;C_x000D_&amp;1#&amp;"Arial"&amp;8&amp;K2E404D Sensitivity Label: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9781-1E81-4B88-8DF5-B1583BD63902}">
  <dimension ref="A1:O16"/>
  <sheetViews>
    <sheetView tabSelected="1" zoomScale="115" zoomScaleNormal="115" workbookViewId="0">
      <selection activeCell="E19" sqref="E19"/>
    </sheetView>
  </sheetViews>
  <sheetFormatPr defaultColWidth="3.7265625" defaultRowHeight="14.5" x14ac:dyDescent="0.35"/>
  <cols>
    <col min="1" max="1" width="3.54296875" bestFit="1" customWidth="1"/>
    <col min="2" max="2" width="11.81640625" bestFit="1" customWidth="1"/>
    <col min="3" max="3" width="33.453125" bestFit="1" customWidth="1"/>
    <col min="4" max="5" width="14.453125" style="7" bestFit="1" customWidth="1"/>
    <col min="6" max="6" width="14.453125" bestFit="1" customWidth="1"/>
    <col min="13" max="13" width="7" customWidth="1"/>
  </cols>
  <sheetData>
    <row r="1" spans="1:15" x14ac:dyDescent="0.35">
      <c r="A1" s="12" t="s">
        <v>7</v>
      </c>
      <c r="B1" s="12" t="s">
        <v>12</v>
      </c>
      <c r="C1" s="12" t="s">
        <v>11</v>
      </c>
      <c r="D1" s="13" t="s">
        <v>9</v>
      </c>
      <c r="E1" s="13" t="s">
        <v>10</v>
      </c>
      <c r="F1" s="12" t="s">
        <v>8</v>
      </c>
    </row>
    <row r="2" spans="1:15" x14ac:dyDescent="0.35">
      <c r="A2" s="2">
        <v>1</v>
      </c>
      <c r="B2" s="9">
        <v>46250</v>
      </c>
      <c r="C2" s="2" t="s">
        <v>13</v>
      </c>
      <c r="D2" s="10">
        <v>550000</v>
      </c>
      <c r="E2" s="8"/>
      <c r="F2" s="11">
        <f>D2-E2</f>
        <v>550000</v>
      </c>
    </row>
    <row r="3" spans="1:15" x14ac:dyDescent="0.35">
      <c r="A3" s="2">
        <v>2</v>
      </c>
      <c r="B3" s="9">
        <v>46250</v>
      </c>
      <c r="C3" s="2" t="s">
        <v>18</v>
      </c>
      <c r="D3" s="10">
        <v>600000</v>
      </c>
      <c r="E3" s="8"/>
      <c r="F3" s="11">
        <f>D3+D2</f>
        <v>1150000</v>
      </c>
    </row>
    <row r="4" spans="1:15" x14ac:dyDescent="0.35">
      <c r="A4" s="2">
        <v>2</v>
      </c>
      <c r="B4" s="9">
        <v>45514</v>
      </c>
      <c r="C4" s="2" t="s">
        <v>14</v>
      </c>
      <c r="D4" s="10"/>
      <c r="E4" s="10">
        <v>0</v>
      </c>
      <c r="F4" s="11">
        <f>F3-E4</f>
        <v>1150000</v>
      </c>
    </row>
    <row r="5" spans="1:15" x14ac:dyDescent="0.35">
      <c r="A5" s="2">
        <v>3</v>
      </c>
      <c r="B5" s="9">
        <v>45422</v>
      </c>
      <c r="C5" s="2" t="s">
        <v>19</v>
      </c>
      <c r="D5" s="10"/>
      <c r="E5" s="10">
        <v>0</v>
      </c>
      <c r="F5" s="11">
        <f>F4-E5</f>
        <v>1150000</v>
      </c>
    </row>
    <row r="6" spans="1:15" x14ac:dyDescent="0.35">
      <c r="A6" s="2">
        <v>5</v>
      </c>
      <c r="B6" s="9">
        <v>46251</v>
      </c>
      <c r="C6" s="2" t="s">
        <v>20</v>
      </c>
      <c r="D6" s="8"/>
      <c r="E6" s="10">
        <v>300000</v>
      </c>
      <c r="F6" s="11">
        <f t="shared" ref="F6:F13" si="0">F5-E6</f>
        <v>850000</v>
      </c>
    </row>
    <row r="7" spans="1:15" x14ac:dyDescent="0.35">
      <c r="A7" s="2">
        <v>6</v>
      </c>
      <c r="B7" s="9">
        <v>46251</v>
      </c>
      <c r="C7" s="2" t="s">
        <v>21</v>
      </c>
      <c r="D7" s="8"/>
      <c r="E7" s="10">
        <v>200000</v>
      </c>
      <c r="F7" s="11">
        <f t="shared" si="0"/>
        <v>650000</v>
      </c>
    </row>
    <row r="8" spans="1:15" x14ac:dyDescent="0.35">
      <c r="A8" s="2"/>
      <c r="B8" s="9">
        <v>46251</v>
      </c>
      <c r="C8" s="2" t="s">
        <v>22</v>
      </c>
      <c r="D8" s="8"/>
      <c r="E8" s="10">
        <v>150000</v>
      </c>
      <c r="F8" s="11">
        <f t="shared" si="0"/>
        <v>500000</v>
      </c>
    </row>
    <row r="9" spans="1:15" x14ac:dyDescent="0.35">
      <c r="A9" s="2"/>
      <c r="B9" s="9">
        <v>46251</v>
      </c>
      <c r="C9" s="2" t="s">
        <v>23</v>
      </c>
      <c r="D9" s="8"/>
      <c r="E9" s="10">
        <v>150000</v>
      </c>
      <c r="F9" s="11">
        <f t="shared" si="0"/>
        <v>350000</v>
      </c>
    </row>
    <row r="10" spans="1:15" x14ac:dyDescent="0.35">
      <c r="A10" s="2"/>
      <c r="B10" s="9">
        <v>46251</v>
      </c>
      <c r="C10" s="2" t="s">
        <v>24</v>
      </c>
      <c r="D10" s="8"/>
      <c r="E10" s="10">
        <v>100000</v>
      </c>
      <c r="F10" s="11">
        <f t="shared" si="0"/>
        <v>250000</v>
      </c>
    </row>
    <row r="11" spans="1:15" x14ac:dyDescent="0.35">
      <c r="A11" s="2"/>
      <c r="B11" s="9">
        <v>46251</v>
      </c>
      <c r="C11" s="2" t="s">
        <v>25</v>
      </c>
      <c r="D11" s="8"/>
      <c r="E11" s="10">
        <v>50000</v>
      </c>
      <c r="F11" s="11">
        <f t="shared" si="0"/>
        <v>200000</v>
      </c>
    </row>
    <row r="12" spans="1:15" x14ac:dyDescent="0.35">
      <c r="A12" s="2"/>
      <c r="B12" s="9">
        <v>46251</v>
      </c>
      <c r="C12" s="2" t="s">
        <v>26</v>
      </c>
      <c r="D12" s="8"/>
      <c r="E12" s="10">
        <v>50000</v>
      </c>
      <c r="F12" s="11">
        <f t="shared" si="0"/>
        <v>150000</v>
      </c>
    </row>
    <row r="13" spans="1:15" x14ac:dyDescent="0.35">
      <c r="A13" s="2"/>
      <c r="B13" s="9">
        <v>46251</v>
      </c>
      <c r="C13" s="2" t="s">
        <v>27</v>
      </c>
      <c r="D13" s="8"/>
      <c r="E13" s="10">
        <v>50000</v>
      </c>
      <c r="F13" s="16">
        <f t="shared" si="0"/>
        <v>100000</v>
      </c>
      <c r="J13" s="19" t="s">
        <v>15</v>
      </c>
      <c r="K13" s="20"/>
      <c r="L13" s="20"/>
      <c r="M13" s="20"/>
      <c r="N13" s="20"/>
      <c r="O13" s="21"/>
    </row>
    <row r="14" spans="1:15" x14ac:dyDescent="0.35">
      <c r="D14" s="15">
        <f>SUM(D2:D7)</f>
        <v>1150000</v>
      </c>
      <c r="E14" s="15">
        <f>SUM(E4:E13)</f>
        <v>1050000</v>
      </c>
    </row>
    <row r="15" spans="1:15" x14ac:dyDescent="0.35">
      <c r="F15" s="14"/>
    </row>
    <row r="16" spans="1:15" x14ac:dyDescent="0.35">
      <c r="E16" s="15"/>
      <c r="F16" s="14"/>
    </row>
  </sheetData>
  <mergeCells count="1">
    <mergeCell ref="J13:O13"/>
  </mergeCells>
  <pageMargins left="0.7" right="0.7" top="0.75" bottom="0.75" header="0.3" footer="0.3"/>
  <pageSetup paperSize="9" orientation="landscape" r:id="rId1"/>
  <headerFooter>
    <oddFooter>&amp;C_x000D_&amp;1#&amp;"Arial"&amp;8&amp;K2E404D Sensitivity Label: General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4BF5-D84E-4E48-8ADB-3BD59216B83A}">
  <dimension ref="B3:D3"/>
  <sheetViews>
    <sheetView zoomScale="70" zoomScaleNormal="70" workbookViewId="0">
      <selection activeCell="B17" sqref="B17"/>
    </sheetView>
  </sheetViews>
  <sheetFormatPr defaultColWidth="3.7265625" defaultRowHeight="14.5" x14ac:dyDescent="0.35"/>
  <cols>
    <col min="1" max="1" width="3.54296875" bestFit="1" customWidth="1"/>
    <col min="2" max="2" width="11.81640625" bestFit="1" customWidth="1"/>
    <col min="3" max="3" width="33.453125" bestFit="1" customWidth="1"/>
    <col min="4" max="4" width="14.453125" style="7" bestFit="1" customWidth="1"/>
    <col min="6" max="6" width="11.1796875" bestFit="1" customWidth="1"/>
    <col min="11" max="11" width="7" customWidth="1"/>
  </cols>
  <sheetData>
    <row r="3" spans="2:2" x14ac:dyDescent="0.35">
      <c r="B3" t="s">
        <v>16</v>
      </c>
    </row>
  </sheetData>
  <pageMargins left="0.7" right="0.7" top="0.75" bottom="0.75" header="0.3" footer="0.3"/>
  <pageSetup paperSize="9" orientation="portrait" r:id="rId1"/>
  <headerFooter>
    <oddFooter>&amp;C_x000D_&amp;1#&amp;"Arial"&amp;8&amp;K2E404D Sensitivity Label: General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Laporan</vt:lpstr>
      <vt:lpstr>Detail</vt:lpstr>
      <vt:lpstr>Bukti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Sony.Harianto</dc:creator>
  <cp:lastModifiedBy>Sony.Harianto</cp:lastModifiedBy>
  <cp:lastPrinted>2024-08-22T11:57:45Z</cp:lastPrinted>
  <dcterms:created xsi:type="dcterms:W3CDTF">2019-12-23T08:36:28Z</dcterms:created>
  <dcterms:modified xsi:type="dcterms:W3CDTF">2026-08-19T03:11:48Z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2026-08-19T02:46:03Z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f03ae7be-e7e2-4a9d-9bdb-3d97e3b6d31a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